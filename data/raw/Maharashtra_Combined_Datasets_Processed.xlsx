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ables/table1.xml" ContentType="application/vnd.openxmlformats-officedocument.spreadsheetml.table+xml"/>
  <Override PartName="/xl/worksheets/sheet60.xml" ContentType="application/vnd.openxmlformats-officedocument.spreadsheetml.worksheet+xml"/>
  <Override PartName="/xl/tables/table2.xml" ContentType="application/vnd.openxmlformats-officedocument.spreadsheetml.table+xml"/>
  <Override PartName="/xl/worksheets/sheet61.xml" ContentType="application/vnd.openxmlformats-officedocument.spreadsheetml.worksheet+xml"/>
  <Override PartName="/xl/tables/table3.xml" ContentType="application/vnd.openxmlformats-officedocument.spreadsheetml.table+xml"/>
  <Override PartName="/xl/worksheets/sheet62.xml" ContentType="application/vnd.openxmlformats-officedocument.spreadsheetml.worksheet+xml"/>
  <Override PartName="/xl/tables/table4.xml" ContentType="application/vnd.openxmlformats-officedocument.spreadsheetml.table+xml"/>
  <Override PartName="/xl/worksheets/sheet63.xml" ContentType="application/vnd.openxmlformats-officedocument.spreadsheetml.worksheet+xml"/>
  <Override PartName="/xl/tables/table5.xml" ContentType="application/vnd.openxmlformats-officedocument.spreadsheetml.table+xml"/>
  <Override PartName="/xl/worksheets/sheet64.xml" ContentType="application/vnd.openxmlformats-officedocument.spreadsheetml.worksheet+xml"/>
  <Override PartName="/xl/tables/table6.xml" ContentType="application/vnd.openxmlformats-officedocument.spreadsheetml.table+xml"/>
  <Override PartName="/xl/worksheets/sheet65.xml" ContentType="application/vnd.openxmlformats-officedocument.spreadsheetml.worksheet+xml"/>
  <Override PartName="/xl/tables/table7.xml" ContentType="application/vnd.openxmlformats-officedocument.spreadsheetml.table+xml"/>
  <Override PartName="/xl/worksheets/sheet66.xml" ContentType="application/vnd.openxmlformats-officedocument.spreadsheetml.worksheet+xml"/>
  <Override PartName="/xl/tables/table8.xml" ContentType="application/vnd.openxmlformats-officedocument.spreadsheetml.table+xml"/>
  <Override PartName="/xl/worksheets/sheet6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ac97df18b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09470a4f2d447c"/>
    <x:sheet xmlns:r="http://schemas.openxmlformats.org/officeDocument/2006/relationships" name="INDEX" sheetId="2" r:id="Ra0257fc1d84a40fe"/>
    <x:sheet xmlns:r="http://schemas.openxmlformats.org/officeDocument/2006/relationships" name="01 Real-time AQI by station" sheetId="3" r:id="R65a2bf2cab2446b7"/>
    <x:sheet xmlns:r="http://schemas.openxmlformats.org/officeDocument/2006/relationships" name="02 Station-level air history" sheetId="4" r:id="R59e46400a9964bf7"/>
    <x:sheet xmlns:r="http://schemas.openxmlformats.org/officeDocument/2006/relationships" name="03 CPCB hourly 2015-19" sheetId="5" r:id="R6ed88c014f3047fa"/>
    <x:sheet xmlns:r="http://schemas.openxmlformats.org/officeDocument/2006/relationships" name="04 Daily city AQI 2015-23" sheetId="6" r:id="R7e4f32e3bd5d495b"/>
    <x:sheet xmlns:r="http://schemas.openxmlformats.org/officeDocument/2006/relationships" name="05 Location-wise ambient air" sheetId="7" r:id="Rd3db826903b045b5"/>
    <x:sheet xmlns:r="http://schemas.openxmlformats.org/officeDocument/2006/relationships" name="06 Day-wise city AQI Dataful" sheetId="8" r:id="R8c27cb6fc501463d"/>
    <x:sheet xmlns:r="http://schemas.openxmlformats.org/officeDocument/2006/relationships" name="07 NAMP ambient air" sheetId="9" r:id="R2daa4a79860041f5"/>
    <x:sheet xmlns:r="http://schemas.openxmlformats.org/officeDocument/2006/relationships" name="08 Sentinel-5P trace gases" sheetId="10" r:id="R7c1772c3ac0a4043"/>
    <x:sheet xmlns:r="http://schemas.openxmlformats.org/officeDocument/2006/relationships" name="09 Noise monitoring network" sheetId="11" r:id="R4803ec69242f400f"/>
    <x:sheet xmlns:r="http://schemas.openxmlformats.org/officeDocument/2006/relationships" name="10 IMD rainfall 0.25 deg" sheetId="12" r:id="R36940bfa3d034a39"/>
    <x:sheet xmlns:r="http://schemas.openxmlformats.org/officeDocument/2006/relationships" name="11 IMD gridded max min temp" sheetId="13" r:id="Racd7ddbde1764a21"/>
    <x:sheet xmlns:r="http://schemas.openxmlformats.org/officeDocument/2006/relationships" name="12 Monthly subdiv rainfall" sheetId="14" r:id="R3ef05da3734048f6"/>
    <x:sheet xmlns:r="http://schemas.openxmlformats.org/officeDocument/2006/relationships" name="13 IMD AWS ARG stations" sheetId="15" r:id="R3764b87b84ab415e"/>
    <x:sheet xmlns:r="http://schemas.openxmlformats.org/officeDocument/2006/relationships" name="14 Heat cold cyclone events" sheetId="16" r:id="Rf79bf4fb431e433b"/>
    <x:sheet xmlns:r="http://schemas.openxmlformats.org/officeDocument/2006/relationships" name="15 NASA POWER climate" sheetId="17" r:id="R8b247c0dfbfc498f"/>
    <x:sheet xmlns:r="http://schemas.openxmlformats.org/officeDocument/2006/relationships" name="16 INSAT weather satellite" sheetId="18" r:id="Rb04130620f00472f"/>
    <x:sheet xmlns:r="http://schemas.openxmlformats.org/officeDocument/2006/relationships" name="17 ERA5 Open-Meteo archive" sheetId="19" r:id="R23a5c02fd7a34daa"/>
    <x:sheet xmlns:r="http://schemas.openxmlformats.org/officeDocument/2006/relationships" name="18 Daily power supply" sheetId="20" r:id="R6bf78b6860cf4132"/>
    <x:sheet xmlns:r="http://schemas.openxmlformats.org/officeDocument/2006/relationships" name="19 Monthly power supply" sheetId="21" r:id="R5af4b7a1561044c4"/>
    <x:sheet xmlns:r="http://schemas.openxmlformats.org/officeDocument/2006/relationships" name="20 Hourly demand solar wind" sheetId="22" r:id="R0e3de8eccb6b4433"/>
    <x:sheet xmlns:r="http://schemas.openxmlformats.org/officeDocument/2006/relationships" name="21 Capacity and generation" sheetId="23" r:id="R8afd5fc4d81d43c9"/>
    <x:sheet xmlns:r="http://schemas.openxmlformats.org/officeDocument/2006/relationships" name="22 Daily coal stock" sheetId="24" r:id="R3afb6418fdaa40bb"/>
    <x:sheet xmlns:r="http://schemas.openxmlformats.org/officeDocument/2006/relationships" name="23 Realtime demand generation" sheetId="25" r:id="Ree474e9e03004917"/>
    <x:sheet xmlns:r="http://schemas.openxmlformats.org/officeDocument/2006/relationships" name="24 Renewable capacity by state" sheetId="26" r:id="R45fc28ec9a4e4faa"/>
    <x:sheet xmlns:r="http://schemas.openxmlformats.org/officeDocument/2006/relationships" name="25 Petroleum products sales" sheetId="27" r:id="R35abe376dea74e41"/>
    <x:sheet xmlns:r="http://schemas.openxmlformats.org/officeDocument/2006/relationships" name="26 Eight core industries" sheetId="28" r:id="Rff0d95bac2364c9a"/>
    <x:sheet xmlns:r="http://schemas.openxmlformats.org/officeDocument/2006/relationships" name="27 Electricity by sector state" sheetId="29" r:id="R7961d9f8539f4371"/>
    <x:sheet xmlns:r="http://schemas.openxmlformats.org/officeDocument/2006/relationships" name="28 India WRIS rainfall" sheetId="30" r:id="Rb3085d25e65d4b21"/>
    <x:sheet xmlns:r="http://schemas.openxmlformats.org/officeDocument/2006/relationships" name="29 India WRIS reservoirs" sheetId="31" r:id="R599e5573f97c4dc4"/>
    <x:sheet xmlns:r="http://schemas.openxmlformats.org/officeDocument/2006/relationships" name="30 River level discharge" sheetId="32" r:id="R0b1ed46433584731"/>
    <x:sheet xmlns:r="http://schemas.openxmlformats.org/officeDocument/2006/relationships" name="31 Groundwater manual" sheetId="33" r:id="Rb3d8d6c865b74019"/>
    <x:sheet xmlns:r="http://schemas.openxmlformats.org/officeDocument/2006/relationships" name="32 Groundwater telemetry" sheetId="34" r:id="Re01bdbd2b631466a"/>
    <x:sheet xmlns:r="http://schemas.openxmlformats.org/officeDocument/2006/relationships" name="33 Soil moisture evapotrans" sheetId="35" r:id="Rb1518ee1f36b4063"/>
    <x:sheet xmlns:r="http://schemas.openxmlformats.org/officeDocument/2006/relationships" name="34 Weekly reservoir bulletin" sheetId="36" r:id="Rd2c5c12def144454"/>
    <x:sheet xmlns:r="http://schemas.openxmlformats.org/officeDocument/2006/relationships" name="35 Water quality NWMP" sheetId="37" r:id="Re52248d241a54abf"/>
    <x:sheet xmlns:r="http://schemas.openxmlformats.org/officeDocument/2006/relationships" name="36 VAHAN fuel registration" sheetId="38" r:id="R8838e7c6f5b34909"/>
    <x:sheet xmlns:r="http://schemas.openxmlformats.org/officeDocument/2006/relationships" name="37 VAHAN vehicle classes" sheetId="39" r:id="Rdbdc6f24d5d74f57"/>
    <x:sheet xmlns:r="http://schemas.openxmlformats.org/officeDocument/2006/relationships" name="38 VAHAN emission norms" sheetId="40" r:id="Rbfa307f8bb0e4125"/>
    <x:sheet xmlns:r="http://schemas.openxmlformats.org/officeDocument/2006/relationships" name="39 VAHAN categories" sheetId="41" r:id="R65ac61e980414c73"/>
    <x:sheet xmlns:r="http://schemas.openxmlformats.org/officeDocument/2006/relationships" name="40 State road accidents" sheetId="42" r:id="Rf360322feb4143c7"/>
    <x:sheet xmlns:r="http://schemas.openxmlformats.org/officeDocument/2006/relationships" name="41 Airport passengers" sheetId="43" r:id="Raf9a44e762704650"/>
    <x:sheet xmlns:r="http://schemas.openxmlformats.org/officeDocument/2006/relationships" name="42 Census 2011 pop amenities" sheetId="44" r:id="R09f75643ef114ee3"/>
    <x:sheet xmlns:r="http://schemas.openxmlformats.org/officeDocument/2006/relationships" name="43 State GDP national accounts" sheetId="45" r:id="Rad2a48d9f7204a2f"/>
    <x:sheet xmlns:r="http://schemas.openxmlformats.org/officeDocument/2006/relationships" name="44 PLFS employment" sheetId="46" r:id="Rb815e5ddaa2e45a8"/>
    <x:sheet xmlns:r="http://schemas.openxmlformats.org/officeDocument/2006/relationships" name="45 SDG India Index" sheetId="47" r:id="Re455fc9aa6dc4c92"/>
    <x:sheet xmlns:r="http://schemas.openxmlformats.org/officeDocument/2006/relationships" name="46 Multidimensional poverty" sheetId="48" r:id="R44681493896a4efb"/>
    <x:sheet xmlns:r="http://schemas.openxmlformats.org/officeDocument/2006/relationships" name="47 GST collections state" sheetId="49" r:id="R06f9b275f43c4243"/>
    <x:sheet xmlns:r="http://schemas.openxmlformats.org/officeDocument/2006/relationships" name="48 Smart Cities indicators" sheetId="50" r:id="R90f0f2ad600e4e47"/>
    <x:sheet xmlns:r="http://schemas.openxmlformats.org/officeDocument/2006/relationships" name="49 Daily mandi prices" sheetId="51" r:id="R2e38ff2c85944cc1"/>
    <x:sheet xmlns:r="http://schemas.openxmlformats.org/officeDocument/2006/relationships" name="50 Crop area production yield" sheetId="52" r:id="Rbe2b7b8ee6014e2d"/>
    <x:sheet xmlns:r="http://schemas.openxmlformats.org/officeDocument/2006/relationships" name="51 State of Forest Report" sheetId="53" r:id="Ra4076b7dc3874c38"/>
    <x:sheet xmlns:r="http://schemas.openxmlformats.org/officeDocument/2006/relationships" name="52 Land use land cover" sheetId="54" r:id="Ra3104147c6b542c8"/>
    <x:sheet xmlns:r="http://schemas.openxmlformats.org/officeDocument/2006/relationships" name="53 VIIRS active fires" sheetId="55" r:id="R3a6e751348fe4c78"/>
    <x:sheet xmlns:r="http://schemas.openxmlformats.org/officeDocument/2006/relationships" name="54 Health facility HMIS" sheetId="56" r:id="Re1ed0b990c534d39"/>
    <x:sheet xmlns:r="http://schemas.openxmlformats.org/officeDocument/2006/relationships" name="55 IDSP weekly outbreaks" sheetId="57" r:id="Rca09a1402ce04fc5"/>
    <x:sheet xmlns:r="http://schemas.openxmlformats.org/officeDocument/2006/relationships" name="UPLOAD GUIDE" sheetId="58" r:id="R591cc7397ffe4ea4"/>
    <x:sheet xmlns:r="http://schemas.openxmlformats.org/officeDocument/2006/relationships" name="DATA Health Facilities" sheetId="59" r:id="R0174ea45fa714460"/>
    <x:sheet xmlns:r="http://schemas.openxmlformats.org/officeDocument/2006/relationships" name="DATA Industry MPCB" sheetId="60" r:id="R42a25422a9664cad"/>
    <x:sheet xmlns:r="http://schemas.openxmlformats.org/officeDocument/2006/relationships" name="DATA Vehicle Categories" sheetId="61" r:id="Rde7b35818a4f44df"/>
    <x:sheet xmlns:r="http://schemas.openxmlformats.org/officeDocument/2006/relationships" name="DATA Airport Traffic" sheetId="62" r:id="Rf31166d351a24056"/>
    <x:sheet xmlns:r="http://schemas.openxmlformats.org/officeDocument/2006/relationships" name="DATA District Indicators" sheetId="63" r:id="R82bc203b6fa043c0"/>
    <x:sheet xmlns:r="http://schemas.openxmlformats.org/officeDocument/2006/relationships" name="DATA Census Wide" sheetId="64" r:id="R17c04864525e460a"/>
    <x:sheet xmlns:r="http://schemas.openxmlformats.org/officeDocument/2006/relationships" name="CENSUS Yearly" sheetId="65" r:id="R315e87b5d60a47a1"/>
    <x:sheet xmlns:r="http://schemas.openxmlformats.org/officeDocument/2006/relationships" name="DISTRICT Master" sheetId="66" r:id="R8b662e26ff78431a"/>
    <x:sheet xmlns:r="http://schemas.openxmlformats.org/officeDocument/2006/relationships" name="QUALITY &amp; MATCHING" sheetId="67" r:id="Rcf07678584c4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%"/>
  </x:numFmts>
  <x:fonts count="1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0537B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B45309"/>
      <x:name val="Carlito"/>
    </x:font>
    <x:font>
      <x:b/>
      <x:sz val="11"/>
      <x:color rgb="FF12253E"/>
      <x:name val="Carlito"/>
    </x:font>
    <x:font>
      <x:i/>
      <x:sz val="11"/>
      <x:color rgb="FF325775"/>
      <x:name val="Carlito"/>
    </x:font>
    <x:font>
      <x:b/>
      <x:sz val="11"/>
      <x:color rgb="FF245472"/>
      <x:name val="Carlito"/>
    </x:font>
    <x:font>
      <x:b/>
      <x:sz val="11"/>
      <x:color rgb="FF087A63"/>
      <x:name val="Carlito"/>
    </x:font>
    <x:font>
      <x:b/>
      <x:sz val="11"/>
      <x:color rgb="FF965A16"/>
      <x:name val="Carlito"/>
    </x:font>
    <x:font>
      <x:i/>
      <x:sz val="11"/>
      <x:color rgb="FF8A5A23"/>
      <x:name val="Carlito"/>
    </x:font>
    <x:font>
      <x:b/>
      <x:sz val="11"/>
      <x:color rgb="FF9A5322"/>
      <x:name val="Carlito"/>
    </x:font>
    <x:font>
      <x:b/>
      <x:sz val="11"/>
      <x:color rgb="FF157D5E"/>
      <x:name val="Carlito"/>
    </x:font>
    <x:font>
      <x:b/>
      <x:sz val="11"/>
      <x:color rgb="FF175845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2253E"/>
      </x:patternFill>
    </x:fill>
    <x:fill>
      <x:patternFill patternType="solid">
        <x:fgColor rgb="FFEAF1F8"/>
      </x:patternFill>
    </x:fill>
    <x:fill>
      <x:patternFill patternType="solid">
        <x:fgColor rgb="FF20537B"/>
      </x:patternFill>
    </x:fill>
    <x:fill>
      <x:patternFill patternType="solid">
        <x:fgColor rgb="FFD5E5F1"/>
      </x:patternFill>
    </x:fill>
    <x:fill>
      <x:patternFill patternType="solid">
        <x:fgColor rgb="FF0F2740"/>
      </x:patternFill>
    </x:fill>
    <x:fill>
      <x:patternFill patternType="solid">
        <x:fgColor rgb="FFEDF4F9"/>
      </x:patternFill>
    </x:fill>
    <x:fill>
      <x:patternFill patternType="solid">
        <x:fgColor rgb="FFEAF2F7"/>
      </x:patternFill>
    </x:fill>
    <x:fill>
      <x:patternFill patternType="solid">
        <x:fgColor rgb="FF183153"/>
      </x:patternFill>
    </x:fill>
    <x:fill>
      <x:patternFill patternType="solid">
        <x:fgColor rgb="FFFFF3DA"/>
      </x:patternFill>
    </x:fill>
    <x:fill>
      <x:patternFill patternType="solid">
        <x:fgColor rgb="FFFFF1E0"/>
      </x:patternFill>
    </x:fill>
    <x:fill>
      <x:patternFill patternType="solid">
        <x:fgColor rgb="FF10766B"/>
      </x:patternFill>
    </x:fill>
    <x:fill>
      <x:patternFill patternType="solid">
        <x:fgColor rgb="FFEAF4F0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0" fillId="13" borderId="0" xfId="0" applyNumberFormat="1" applyFont="1" applyFill="1" applyBorder="1"/>
    <x:xf numFmtId="0" fontId="14" fillId="13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D1FAE5"/>
        </x:patternFill>
      </x:fill>
    </x:dxf>
    <x:dxf>
      <x:fill>
        <x:patternFill>
          <x:bgColor rgb="FFFFF3D6"/>
        </x:patternFill>
      </x:fill>
    </x:dxf>
    <x:dxf>
      <x:font>
        <x:color rgb="FFAA5B00"/>
      </x:font>
      <x:fill>
        <x:patternFill patternType="solid">
          <x:bgColor rgb="FFFFF0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c12136c8f4f42" /><Relationship Type="http://schemas.openxmlformats.org/officeDocument/2006/relationships/theme" Target="/xl/theme/theme1.xml" Id="R7e6d857ef403403b" /><Relationship Type="http://schemas.openxmlformats.org/officeDocument/2006/relationships/sharedStrings" Target="/xl/sharedStrings.xml" Id="Ra7b74265e020463c" /><Relationship Type="http://schemas.openxmlformats.org/officeDocument/2006/relationships/worksheet" Target="/xl/worksheets/sheet1.xml" Id="Rdf09470a4f2d447c" /><Relationship Type="http://schemas.openxmlformats.org/officeDocument/2006/relationships/worksheet" Target="/xl/worksheets/sheet2.xml" Id="Ra0257fc1d84a40fe" /><Relationship Type="http://schemas.openxmlformats.org/officeDocument/2006/relationships/worksheet" Target="/xl/worksheets/sheet3.xml" Id="R65a2bf2cab2446b7" /><Relationship Type="http://schemas.openxmlformats.org/officeDocument/2006/relationships/worksheet" Target="/xl/worksheets/sheet4.xml" Id="R59e46400a9964bf7" /><Relationship Type="http://schemas.openxmlformats.org/officeDocument/2006/relationships/worksheet" Target="/xl/worksheets/sheet5.xml" Id="R6ed88c014f3047fa" /><Relationship Type="http://schemas.openxmlformats.org/officeDocument/2006/relationships/worksheet" Target="/xl/worksheets/sheet6.xml" Id="R7e4f32e3bd5d495b" /><Relationship Type="http://schemas.openxmlformats.org/officeDocument/2006/relationships/worksheet" Target="/xl/worksheets/sheet7.xml" Id="Rd3db826903b045b5" /><Relationship Type="http://schemas.openxmlformats.org/officeDocument/2006/relationships/worksheet" Target="/xl/worksheets/sheet8.xml" Id="R8c27cb6fc501463d" /><Relationship Type="http://schemas.openxmlformats.org/officeDocument/2006/relationships/worksheet" Target="/xl/worksheets/sheet9.xml" Id="R2daa4a79860041f5" /><Relationship Type="http://schemas.openxmlformats.org/officeDocument/2006/relationships/worksheet" Target="/xl/worksheets/sheet10.xml" Id="R7c1772c3ac0a4043" /><Relationship Type="http://schemas.openxmlformats.org/officeDocument/2006/relationships/worksheet" Target="/xl/worksheets/sheet11.xml" Id="R4803ec69242f400f" /><Relationship Type="http://schemas.openxmlformats.org/officeDocument/2006/relationships/worksheet" Target="/xl/worksheets/sheet12.xml" Id="R36940bfa3d034a39" /><Relationship Type="http://schemas.openxmlformats.org/officeDocument/2006/relationships/worksheet" Target="/xl/worksheets/sheet13.xml" Id="Racd7ddbde1764a21" /><Relationship Type="http://schemas.openxmlformats.org/officeDocument/2006/relationships/worksheet" Target="/xl/worksheets/sheet14.xml" Id="R3ef05da3734048f6" /><Relationship Type="http://schemas.openxmlformats.org/officeDocument/2006/relationships/worksheet" Target="/xl/worksheets/sheet15.xml" Id="R3764b87b84ab415e" /><Relationship Type="http://schemas.openxmlformats.org/officeDocument/2006/relationships/worksheet" Target="/xl/worksheets/sheet16.xml" Id="Rf79bf4fb431e433b" /><Relationship Type="http://schemas.openxmlformats.org/officeDocument/2006/relationships/worksheet" Target="/xl/worksheets/sheet17.xml" Id="R8b247c0dfbfc498f" /><Relationship Type="http://schemas.openxmlformats.org/officeDocument/2006/relationships/worksheet" Target="/xl/worksheets/sheet18.xml" Id="Rb04130620f00472f" /><Relationship Type="http://schemas.openxmlformats.org/officeDocument/2006/relationships/worksheet" Target="/xl/worksheets/sheet19.xml" Id="R23a5c02fd7a34daa" /><Relationship Type="http://schemas.openxmlformats.org/officeDocument/2006/relationships/worksheet" Target="/xl/worksheets/sheet20.xml" Id="R6bf78b6860cf4132" /><Relationship Type="http://schemas.openxmlformats.org/officeDocument/2006/relationships/worksheet" Target="/xl/worksheets/sheet21.xml" Id="R5af4b7a1561044c4" /><Relationship Type="http://schemas.openxmlformats.org/officeDocument/2006/relationships/worksheet" Target="/xl/worksheets/sheet22.xml" Id="R0e3de8eccb6b4433" /><Relationship Type="http://schemas.openxmlformats.org/officeDocument/2006/relationships/worksheet" Target="/xl/worksheets/sheet23.xml" Id="R8afd5fc4d81d43c9" /><Relationship Type="http://schemas.openxmlformats.org/officeDocument/2006/relationships/worksheet" Target="/xl/worksheets/sheet24.xml" Id="R3afb6418fdaa40bb" /><Relationship Type="http://schemas.openxmlformats.org/officeDocument/2006/relationships/worksheet" Target="/xl/worksheets/sheet25.xml" Id="Ree474e9e03004917" /><Relationship Type="http://schemas.openxmlformats.org/officeDocument/2006/relationships/worksheet" Target="/xl/worksheets/sheet26.xml" Id="R45fc28ec9a4e4faa" /><Relationship Type="http://schemas.openxmlformats.org/officeDocument/2006/relationships/worksheet" Target="/xl/worksheets/sheet27.xml" Id="R35abe376dea74e41" /><Relationship Type="http://schemas.openxmlformats.org/officeDocument/2006/relationships/worksheet" Target="/xl/worksheets/sheet28.xml" Id="Rff0d95bac2364c9a" /><Relationship Type="http://schemas.openxmlformats.org/officeDocument/2006/relationships/worksheet" Target="/xl/worksheets/sheet29.xml" Id="R7961d9f8539f4371" /><Relationship Type="http://schemas.openxmlformats.org/officeDocument/2006/relationships/worksheet" Target="/xl/worksheets/sheet30.xml" Id="Rb3085d25e65d4b21" /><Relationship Type="http://schemas.openxmlformats.org/officeDocument/2006/relationships/worksheet" Target="/xl/worksheets/sheet31.xml" Id="R599e5573f97c4dc4" /><Relationship Type="http://schemas.openxmlformats.org/officeDocument/2006/relationships/worksheet" Target="/xl/worksheets/sheet32.xml" Id="R0b1ed46433584731" /><Relationship Type="http://schemas.openxmlformats.org/officeDocument/2006/relationships/worksheet" Target="/xl/worksheets/sheet33.xml" Id="Rb3d8d6c865b74019" /><Relationship Type="http://schemas.openxmlformats.org/officeDocument/2006/relationships/worksheet" Target="/xl/worksheets/sheet34.xml" Id="Re01bdbd2b631466a" /><Relationship Type="http://schemas.openxmlformats.org/officeDocument/2006/relationships/worksheet" Target="/xl/worksheets/sheet35.xml" Id="Rb1518ee1f36b4063" /><Relationship Type="http://schemas.openxmlformats.org/officeDocument/2006/relationships/worksheet" Target="/xl/worksheets/sheet36.xml" Id="Rd2c5c12def144454" /><Relationship Type="http://schemas.openxmlformats.org/officeDocument/2006/relationships/worksheet" Target="/xl/worksheets/sheet37.xml" Id="Re52248d241a54abf" /><Relationship Type="http://schemas.openxmlformats.org/officeDocument/2006/relationships/worksheet" Target="/xl/worksheets/sheet38.xml" Id="R8838e7c6f5b34909" /><Relationship Type="http://schemas.openxmlformats.org/officeDocument/2006/relationships/worksheet" Target="/xl/worksheets/sheet39.xml" Id="Rdbdc6f24d5d74f57" /><Relationship Type="http://schemas.openxmlformats.org/officeDocument/2006/relationships/worksheet" Target="/xl/worksheets/sheet40.xml" Id="Rbfa307f8bb0e4125" /><Relationship Type="http://schemas.openxmlformats.org/officeDocument/2006/relationships/worksheet" Target="/xl/worksheets/sheet41.xml" Id="R65ac61e980414c73" /><Relationship Type="http://schemas.openxmlformats.org/officeDocument/2006/relationships/worksheet" Target="/xl/worksheets/sheet42.xml" Id="Rf360322feb4143c7" /><Relationship Type="http://schemas.openxmlformats.org/officeDocument/2006/relationships/worksheet" Target="/xl/worksheets/sheet43.xml" Id="Raf9a44e762704650" /><Relationship Type="http://schemas.openxmlformats.org/officeDocument/2006/relationships/worksheet" Target="/xl/worksheets/sheet44.xml" Id="R09f75643ef114ee3" /><Relationship Type="http://schemas.openxmlformats.org/officeDocument/2006/relationships/worksheet" Target="/xl/worksheets/sheet45.xml" Id="Rad2a48d9f7204a2f" /><Relationship Type="http://schemas.openxmlformats.org/officeDocument/2006/relationships/worksheet" Target="/xl/worksheets/sheet46.xml" Id="Rb815e5ddaa2e45a8" /><Relationship Type="http://schemas.openxmlformats.org/officeDocument/2006/relationships/worksheet" Target="/xl/worksheets/sheet47.xml" Id="Re455fc9aa6dc4c92" /><Relationship Type="http://schemas.openxmlformats.org/officeDocument/2006/relationships/worksheet" Target="/xl/worksheets/sheet48.xml" Id="R44681493896a4efb" /><Relationship Type="http://schemas.openxmlformats.org/officeDocument/2006/relationships/worksheet" Target="/xl/worksheets/sheet49.xml" Id="R06f9b275f43c4243" /><Relationship Type="http://schemas.openxmlformats.org/officeDocument/2006/relationships/worksheet" Target="/xl/worksheets/sheet50.xml" Id="R90f0f2ad600e4e47" /><Relationship Type="http://schemas.openxmlformats.org/officeDocument/2006/relationships/worksheet" Target="/xl/worksheets/sheet51.xml" Id="R2e38ff2c85944cc1" /><Relationship Type="http://schemas.openxmlformats.org/officeDocument/2006/relationships/worksheet" Target="/xl/worksheets/sheet52.xml" Id="Rbe2b7b8ee6014e2d" /><Relationship Type="http://schemas.openxmlformats.org/officeDocument/2006/relationships/worksheet" Target="/xl/worksheets/sheet53.xml" Id="Ra4076b7dc3874c38" /><Relationship Type="http://schemas.openxmlformats.org/officeDocument/2006/relationships/worksheet" Target="/xl/worksheets/sheet54.xml" Id="Ra3104147c6b542c8" /><Relationship Type="http://schemas.openxmlformats.org/officeDocument/2006/relationships/worksheet" Target="/xl/worksheets/sheet55.xml" Id="R3a6e751348fe4c78" /><Relationship Type="http://schemas.openxmlformats.org/officeDocument/2006/relationships/worksheet" Target="/xl/worksheets/sheet56.xml" Id="Re1ed0b990c534d39" /><Relationship Type="http://schemas.openxmlformats.org/officeDocument/2006/relationships/worksheet" Target="/xl/worksheets/sheet57.xml" Id="Rca09a1402ce04fc5" /><Relationship Type="http://schemas.openxmlformats.org/officeDocument/2006/relationships/worksheet" Target="/xl/worksheets/sheet58.xml" Id="R591cc7397ffe4ea4" /><Relationship Type="http://schemas.openxmlformats.org/officeDocument/2006/relationships/worksheet" Target="/xl/worksheets/sheet59.xml" Id="R0174ea45fa714460" /><Relationship Type="http://schemas.openxmlformats.org/officeDocument/2006/relationships/worksheet" Target="/xl/worksheets/sheet60.xml" Id="R42a25422a9664cad" /><Relationship Type="http://schemas.openxmlformats.org/officeDocument/2006/relationships/worksheet" Target="/xl/worksheets/sheet61.xml" Id="Rde7b35818a4f44df" /><Relationship Type="http://schemas.openxmlformats.org/officeDocument/2006/relationships/worksheet" Target="/xl/worksheets/sheet62.xml" Id="Rf31166d351a24056" /><Relationship Type="http://schemas.openxmlformats.org/officeDocument/2006/relationships/worksheet" Target="/xl/worksheets/sheet63.xml" Id="R82bc203b6fa043c0" /><Relationship Type="http://schemas.openxmlformats.org/officeDocument/2006/relationships/worksheet" Target="/xl/worksheets/sheet64.xml" Id="R17c04864525e460a" /><Relationship Type="http://schemas.openxmlformats.org/officeDocument/2006/relationships/worksheet" Target="/xl/worksheets/sheet65.xml" Id="R315e87b5d60a47a1" /><Relationship Type="http://schemas.openxmlformats.org/officeDocument/2006/relationships/worksheet" Target="/xl/worksheets/sheet66.xml" Id="R8b662e26ff78431a" /><Relationship Type="http://schemas.openxmlformats.org/officeDocument/2006/relationships/worksheet" Target="/xl/worksheets/sheet67.xml" Id="Rcf07678584c44513" /></Relationships>
</file>

<file path=xl/tables/table1.xml><?xml version="1.0" encoding="utf-8"?>
<x:table xmlns:x="http://schemas.openxmlformats.org/spreadsheetml/2006/main" id="1" name="UploadedHealthFacilities" displayName="UploadedHealthFacilities" ref="A5:L47" headerRowCount="1" totalsRowCount="0" totalsRowShown="0">
  <x:tableColumns count="12">
    <x:tableColumn id="1" name="District (source)"/>
    <x:tableColumn id="2" name="District (standard)"/>
    <x:tableColumn id="3" name="Row type"/>
    <x:tableColumn id="4" name="Sub-Centres"/>
    <x:tableColumn id="5" name="Primary Health Centres"/>
    <x:tableColumn id="6" name="Dispensaries"/>
    <x:tableColumn id="7" name="Sub-District Hospitals"/>
    <x:tableColumn id="8" name="District Hospitals"/>
    <x:tableColumn id="9" name="General Hospitals"/>
    <x:tableColumn id="10" name="Women Hospitals"/>
    <x:tableColumn id="11" name="Rural Hospital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loadedIndustry" displayName="UploadedIndustry" ref="A5:N18" headerRowCount="1" totalsRowCount="0" totalsRowShown="0">
  <x:tableColumns count="14">
    <x:tableColumn id="1" name="MPCB region"/>
    <x:tableColumn id="2" name="Row type"/>
    <x:tableColumn id="3" name="Red Large"/>
    <x:tableColumn id="4" name="Red Medium"/>
    <x:tableColumn id="5" name="Red Small"/>
    <x:tableColumn id="6" name="Orange Large"/>
    <x:tableColumn id="7" name="Orange Medium"/>
    <x:tableColumn id="8" name="Orange Small"/>
    <x:tableColumn id="9" name="Green Large"/>
    <x:tableColumn id="10" name="Green Medium"/>
    <x:tableColumn id="11" name="Green Small"/>
    <x:tableColumn id="12" name="White"/>
    <x:tableColumn id="13" name="Total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ploadedVehicles" displayName="UploadedVehicles" ref="A5:AA68" headerRowCount="1" totalsRowCount="0" totalsRowShown="0">
  <x:tableColumns count="27">
    <x:tableColumn id="1" name="Transport office / grouping (source)"/>
    <x:tableColumn id="2" name="Office / grouping cleaned"/>
    <x:tableColumn id="3" name="Row type"/>
    <x:tableColumn id="4" name="Motor Cycles"/>
    <x:tableColumn id="5" name="Scooters"/>
    <x:tableColumn id="6" name="Moped"/>
    <x:tableColumn id="7" name="Cars"/>
    <x:tableColumn id="8" name="Jeeps"/>
    <x:tableColumn id="9" name="Stn. Wagons"/>
    <x:tableColumn id="10" name="Taxis meter fited"/>
    <x:tableColumn id="11" name="Luxury /Turist Cabs"/>
    <x:tableColumn id="12" name="Auto-rikshaws"/>
    <x:tableColumn id="13" name="Stage carriages"/>
    <x:tableColumn id="14" name="Contract carriages /Mini Bus"/>
    <x:tableColumn id="15" name="School Buses"/>
    <x:tableColumn id="16" name="Private Service Vehicles"/>
    <x:tableColumn id="17" name="Ambulances"/>
    <x:tableColumn id="18" name="Articulated/Multi."/>
    <x:tableColumn id="19" name="Trucks &amp; Lorries"/>
    <x:tableColumn id="20" name="Tanker"/>
    <x:tableColumn id="21" name="Delivery Van (4 wheelers)"/>
    <x:tableColumn id="22" name="Delivery Van (3 wheelers)"/>
    <x:tableColumn id="23" name="Tractors"/>
    <x:tableColumn id="24" name="Trailors"/>
    <x:tableColumn id="25" name="Others"/>
    <x:tableColumn id="26" name="Total across vehicle classes"/>
    <x:tableColumn id="2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ploadedAirports" displayName="UploadedAirports" ref="A5:J27" headerRowCount="1" totalsRowCount="0" totalsRowShown="0">
  <x:tableColumns count="10">
    <x:tableColumn id="1" name="Airport / grouping"/>
    <x:tableColumn id="2" name="Traffic type"/>
    <x:tableColumn id="3" name="Row type"/>
    <x:tableColumn id="4" name="Aircraft movement handled (no.) 2022-23"/>
    <x:tableColumn id="5" name="Aircraft movement handled (no.) 2023-24"/>
    <x:tableColumn id="6" name="Passenger Traffic 2022-23 (Lakhs)"/>
    <x:tableColumn id="7" name="Passenger Traffic 2023-24 (Lakhs)"/>
    <x:tableColumn id="8" name="Cargo (MT) 2022-23"/>
    <x:tableColumn id="9" name="Cargo (MT) (2023-24)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loadedIndicators" displayName="UploadedIndicators" ref="A5:U42" headerRowCount="1" totalsRowCount="0" totalsRowShown="0">
  <x:tableColumns count="21">
    <x:tableColumn id="1" name="District (source)"/>
    <x:tableColumn id="2" name="District (standard)"/>
    <x:tableColumn id="3" name="Row type"/>
    <x:tableColumn id="4" name="Density of schools (per 10 sq km)"/>
    <x:tableColumn id="5" name="Dropout Rate (Secondary IX-X)"/>
    <x:tableColumn id="6" name="Dropout Rate (Higher Secondary XI-XII)"/>
    <x:tableColumn id="7" name="PTR Elementary (I-VII)"/>
    <x:tableColumn id="8" name="PTR Secondary (IX-X)"/>
    <x:tableColumn id="9" name="PTR Higher Secondary (XI-XII)"/>
    <x:tableColumn id="10" name="Percentage of forest area to total geographical area"/>
    <x:tableColumn id="11" name="Per capita domestic consumption electricity (kwh)"/>
    <x:tableColumn id="12" name="Per capita industrial consumption of electricity (kwh)"/>
    <x:tableColumn id="13" name="Number of establishments per lakh population (economic census 2013)"/>
    <x:tableColumn id="14" name="Per Capita Income at current prices"/>
    <x:tableColumn id="15" name="Number of banking offices per lakh pop"/>
    <x:tableColumn id="16" name="Credit-Deposit Ratio"/>
    <x:tableColumn id="17" name="ATMS per lakh pop"/>
    <x:tableColumn id="18" name="Vehicles per lakh pop"/>
    <x:tableColumn id="19" name="Percentage of severly underweight children (age 0-5)"/>
    <x:tableColumn id="20" name="Percentage of moderately underweight children (0-5 years)"/>
    <x:tableColumn id="2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ploadedCensus" displayName="UploadedCensus" ref="A5:U40" headerRowCount="1" totalsRowCount="0" totalsRowShown="0">
  <x:tableColumns count="21">
    <x:tableColumn id="1" name="District (source)"/>
    <x:tableColumn id="2" name="District (standard)"/>
    <x:tableColumn id="3" name="1991 Male"/>
    <x:tableColumn id="4" name="1991 Female"/>
    <x:tableColumn id="5" name="1991 Population"/>
    <x:tableColumn id="6" name="1991 Density"/>
    <x:tableColumn id="7" name="1991 Sex ratio"/>
    <x:tableColumn id="8" name="1991 Literacy rate (%)"/>
    <x:tableColumn id="9" name="2001 Male"/>
    <x:tableColumn id="10" name="2001 Female"/>
    <x:tableColumn id="11" name="2001 Population"/>
    <x:tableColumn id="12" name="2001 Density"/>
    <x:tableColumn id="13" name="2001 Sex ratio"/>
    <x:tableColumn id="14" name="2001 Literacy rate (%)"/>
    <x:tableColumn id="15" name="2011 Male"/>
    <x:tableColumn id="16" name="2011 Female"/>
    <x:tableColumn id="17" name="2011 Population"/>
    <x:tableColumn id="18" name="2011 Density"/>
    <x:tableColumn id="19" name="2011 Sex ratio"/>
    <x:tableColumn id="20" name="2011 Literacy rate (%)"/>
    <x:tableColumn id="21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ensusLongTable" displayName="CensusLongTable" ref="A5:J110" headerRowCount="1" totalsRowCount="0" totalsRowShown="0">
  <x:tableColumns count="10">
    <x:tableColumn id="1" name="District (standard)"/>
    <x:tableColumn id="2" name="District (source)"/>
    <x:tableColumn id="3" name="Census year"/>
    <x:tableColumn id="4" name="Male"/>
    <x:tableColumn id="5" name="Female"/>
    <x:tableColumn id="6" name="Population"/>
    <x:tableColumn id="7" name="Density (persons per sq km)"/>
    <x:tableColumn id="8" name="Sex ratio (females per 1000 males)"/>
    <x:tableColumn id="9" name="Literacy rate (%)"/>
    <x:tableColumn id="10" name="Data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harashtraDistrictMaster" displayName="MaharashtraDistrictMaster" ref="A5:AB41" headerRowCount="1" totalsRowCount="0" totalsRowShown="0">
  <x:tableColumns count="28">
    <x:tableColumn id="1" name="District"/>
    <x:tableColumn id="2" name="Population 2011"/>
    <x:tableColumn id="3" name="Population 2001"/>
    <x:tableColumn id="4" name="Population 1991"/>
    <x:tableColumn id="5" name="Population growth 2001-11"/>
    <x:tableColumn id="6" name="Density 2011"/>
    <x:tableColumn id="7" name="Literacy 2011 (%)"/>
    <x:tableColumn id="8" name="Health sub-centres"/>
    <x:tableColumn id="9" name="Primary health centres"/>
    <x:tableColumn id="10" name="Dispensaries"/>
    <x:tableColumn id="11" name="Sub-district hospitals"/>
    <x:tableColumn id="12" name="District hospitals"/>
    <x:tableColumn id="13" name="General hospitals"/>
    <x:tableColumn id="14" name="Women hospitals"/>
    <x:tableColumn id="15" name="Rural hospitals"/>
    <x:tableColumn id="16" name="Schools per 10 sq km"/>
    <x:tableColumn id="17" name="Secondary dropout (%)"/>
    <x:tableColumn id="18" name="Forest land (%)"/>
    <x:tableColumn id="19" name="Domestic electricity kWh per capita"/>
    <x:tableColumn id="20" name="Industrial electricity kWh per capita"/>
    <x:tableColumn id="21" name="Per capita income (source units)"/>
    <x:tableColumn id="22" name="Vehicles per lakh"/>
    <x:tableColumn id="23" name="Underweight severe (%)"/>
    <x:tableColumn id="24" name="Underweight moderate (%)"/>
    <x:tableColumn id="25" name="Census match"/>
    <x:tableColumn id="26" name="Health match"/>
    <x:tableColumn id="27" name="Join / coverage warning"/>
    <x:tableColumn id="28" name="Total reported health facilit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1.xml" Id="Ref6a96dcdcfc430a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2.xml" Id="R560d5db628444787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3.xml" Id="Rccf7d19c79ea46f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4.xml" Id="R490634ea36ed48b3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5.xml" Id="R3b7da009bbfb4415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.xml" Id="R1dea9850cc6a4959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7.xml" Id="Rc571dc2329a44a8e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8.xml" Id="Rc11ea93957cc4d83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87" hidden="0" customWidth="1"/>
  </x:cols>
  <x:sheetData>
    <x:row r="1" ht="22" customHeight="1">
      <x:c r="A1" s="4" t="str">
        <x:v>INDIA | 55 DATASET ACQUISITION REGISTER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4" ht="29" customHeight="1">
      <x:c r="A4" s="9" t="str">
        <x:v>As of</x:v>
      </x:c>
      <x:c r="B4" s="12" t="str">
        <x:v>2026-10-29</x:v>
      </x:c>
    </x:row>
    <x:row r="5" ht="29" customHeight="1">
      <x:c r="A5" s="9" t="str">
        <x:v>Datasets covered</x:v>
      </x:c>
      <x:c r="B5" s="12" t="n">
        <x:v>55</x:v>
      </x:c>
    </x:row>
    <x:row r="6" ht="29" customHeight="1">
      <x:c r="A6" s="9" t="str">
        <x:v>Dataset sheets</x:v>
      </x:c>
      <x:c r="B6" s="12" t="n">
        <x:v>55</x:v>
      </x:c>
    </x:row>
    <x:row r="7" ht="29" customHeight="1">
      <x:c r="A7" s="9" t="str">
        <x:v>Original raw datasets downloaded</x:v>
      </x:c>
      <x:c r="B7" s="12" t="n">
        <x:v>0</x:v>
      </x:c>
    </x:row>
    <x:row r="8" ht="29" customHeight="1">
      <x:c r="A8" s="9" t="str">
        <x:v>Public preview / related summary sheets</x:v>
      </x:c>
      <x:c r="B8" s="12" t="n">
        <x:v>4</x:v>
      </x:c>
    </x:row>
    <x:row r="9" ht="29" customHeight="1">
      <x:c r="A9" s="9" t="str">
        <x:v>Status explanation</x:v>
      </x:c>
      <x:c r="B9" s="12" t="str">
        <x:v>Source catalog + public preview extracts, not a complete data warehouse.</x:v>
      </x:c>
    </x:row>
    <x:row r="10" ht="29" customHeight="1">
      <x:c r="A10" s="9" t="str">
        <x:v>Why not full data?</x:v>
      </x:c>
      <x:c r="B10" s="12" t="str">
        <x:v>External binary/CSV downloads could not be fetched in this session; many portals need authentication, manual filters, or GIS extraction.</x:v>
      </x:c>
    </x:row>
    <x:row r="11" ht="29" customHeight="1">
      <x:c r="A11" s="9" t="str">
        <x:v>Inside each tab</x:v>
      </x:c>
      <x:c r="B11" s="12" t="str">
        <x:v>Publisher, resolution, correlations, source URL(s), access limitations, and a reserved data table.</x:v>
      </x:c>
    </x:row>
    <x:row r="12" ht="29" customHeight="1">
      <x:c r="A12" s="9" t="str">
        <x:v>PREVIEW label</x:v>
      </x:c>
      <x:c r="B12" s="12" t="str">
        <x:v>Only rows directly visible in verified public web pages; no simulated or invented observations.</x:v>
      </x:c>
    </x:row>
    <x:row r="13" ht="29" customHeight="1">
      <x:c r="A13" s="9" t="str">
        <x:v>Next step</x:v>
      </x:c>
      <x:c r="B13" s="12" t="str">
        <x:v>Open source links, select periods/geographies, download CSV/XLSX, then import their full contents into the matching sheet.</x:v>
      </x:c>
    </x:row>
    <x:row r="16">
      <x:c r="A16" s="15" t="str">
        <x:v>READ THIS FIRST</x:v>
      </x:c>
      <x:c r="B16" s="15"/>
      <x:c r="C16" s="15"/>
      <x:c r="D16" s="15"/>
      <x:c r="E16" s="15"/>
      <x:c r="F16" s="15"/>
      <x:c r="G16" s="15"/>
    </x:row>
    <x:row r="17">
      <x:c r="A17" s="12" t="str">
        <x:v>This is a research-ready SOURCE INVENTORY with a limited number of genuine public preview rows, not all 55 downloaded full datasets. Never treat a missing sheet as a zero. Dates and units differ. The original 55 entries are retained in the INDEX; the verified source links are in each sheet.</x:v>
      </x:c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53" t="str">
        <x:v>NEW: USER-UPLOADED FILES</x:v>
      </x:c>
      <x:c r="B19" s="53" t="n">
        <x:v>6</x:v>
      </x:c>
      <x:c r="C19" s="12"/>
      <x:c r="D19" s="12"/>
      <x:c r="E19" s="12"/>
      <x:c r="F19" s="12"/>
      <x:c r="G19" s="12"/>
    </x:row>
    <x:row r="20">
      <x:c r="A20" t="str">
        <x:v>Uploaded dataset rows</x:v>
      </x:c>
      <x:c r="B20" t="n">
        <x:v>212</x:v>
      </x:c>
    </x:row>
    <x:row r="21">
      <x:c r="A21" t="str">
        <x:v>Primary processed view</x:v>
      </x:c>
      <x:c r="B21" t="str">
        <x:v>DISTRICT Master — 36 Maharashtra districts</x:v>
      </x:c>
    </x:row>
    <x:row r="22">
      <x:c r="A22" t="str">
        <x:v>Time-series view</x:v>
      </x:c>
      <x:c r="B22" t="str">
        <x:v>CENSUS Yearly — 105 district-year records</x:v>
      </x:c>
    </x:row>
    <x:row r="23">
      <x:c r="A23" t="str">
        <x:v>Where to start</x:v>
      </x:c>
      <x:c r="B23" t="str">
        <x:v>UPLOAD GUIDE and QUALITY &amp; MATCHING (bottom tabs)</x:v>
      </x:c>
    </x:row>
    <x:row r="24">
      <x:c r="A24" t="str">
        <x:v>Important distinction</x:v>
      </x:c>
      <x:c r="B24" t="str">
        <x:v>New files are supplementary, not the original 55 official datasets.</x:v>
      </x:c>
    </x:row>
    <x:row r="25">
      <x:c r="A25" t="str">
        <x:v>File provenance</x:v>
      </x:c>
      <x:c r="B25" t="str">
        <x:v>User-supplied files. Source attribution and years not fully verified.</x:v>
      </x:c>
    </x:row>
  </x:sheetData>
  <x:mergeCells>
    <x:mergeCell ref="A1:G2"/>
    <x:mergeCell ref="A16:G16"/>
    <x:mergeCell ref="A17:G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6" hidden="0" customWidth="1"/>
    <x:col min="3" max="3" width="33" hidden="0" customWidth="1"/>
    <x:col min="4" max="4" width="28" hidden="0" customWidth="1"/>
    <x:col min="5" max="5" width="23" hidden="0" customWidth="1"/>
    <x:col min="6" max="6" width="22" hidden="0" customWidth="1"/>
    <x:col min="7" max="7" width="15" hidden="0" customWidth="1"/>
    <x:col min="8" max="8" width="57" hidden="0" customWidth="1"/>
    <x:col min="9" max="9" width="64" hidden="0" customWidth="1"/>
    <x:col min="10" max="10" width="31" hidden="0" customWidth="1"/>
    <x:col min="11" max="11" width="31" hidden="0" customWidth="1"/>
    <x:col min="12" max="12" width="61" hidden="0" customWidth="1"/>
  </x:cols>
  <x:sheetData>
    <x:row r="1">
      <x:c r="A1" s="19" t="str">
        <x:v>55 DATASETS | SOURCE REGISTER &amp; ACCESS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</x:row>
    <x:row r="4" ht="32" customHeight="1">
      <x:c r="A4" s="22" t="str">
        <x:v>#</x:v>
      </x:c>
      <x:c r="B4" s="22" t="str">
        <x:v>Category</x:v>
      </x:c>
      <x:c r="C4" s="22" t="str">
        <x:v>Dataset</x:v>
      </x:c>
      <x:c r="D4" s="22" t="str">
        <x:v>Publisher</x:v>
      </x:c>
      <x:c r="E4" s="22" t="str">
        <x:v>Resolution</x:v>
      </x:c>
      <x:c r="F4" s="22" t="str">
        <x:v>Status</x:v>
      </x:c>
      <x:c r="G4" s="22" t="str">
        <x:v>Rows included</x:v>
      </x:c>
      <x:c r="H4" s="22" t="str">
        <x:v>Source / download portal</x:v>
      </x:c>
      <x:c r="I4" s="22" t="str">
        <x:v>Access notes</x:v>
      </x:c>
      <x:c r="J4" s="22" t="str">
        <x:v>Sheet name</x:v>
      </x:c>
      <x:c r="K4" s="41" t="str">
        <x:v>RELATED USER UPLOAD</x:v>
      </x:c>
      <x:c r="L4" s="41" t="str">
        <x:v>COVERAGE / CAUTION</x:v>
      </x:c>
    </x:row>
    <x:row r="5" ht="24" customHeight="1">
      <x:c r="A5" t="n">
        <x:v>1</x:v>
      </x:c>
      <x:c r="B5" t="str">
        <x:v>Air and emissions</x:v>
      </x:c>
      <x:c r="C5" s="12" t="str">
        <x:v>Real-time AQI by station</x:v>
      </x:c>
      <x:c r="D5" t="str">
        <x:v>CPCB</x:v>
      </x:c>
      <x:c r="E5" t="str">
        <x:v>Hourly</x:v>
      </x:c>
      <x:c r="F5" t="str">
        <x:v>SOURCE LINK ONLY</x:v>
      </x:c>
      <x:c r="G5" t="n">
        <x:v>0</x:v>
      </x:c>
      <x:c r="H5" t="str">
        <x:v>https://www.data.gov.in/catalog/real-time-air-quality-index</x:v>
      </x:c>
      <x:c r="I5" s="12" t="str">
        <x:v>OGD catalog: API may require key or separate download.</x:v>
      </x:c>
      <x:c r="J5" t="str">
        <x:v>01 Real-time AQI by station</x:v>
      </x:c>
    </x:row>
    <x:row r="6" ht="24" customHeight="1">
      <x:c r="A6" t="n">
        <x:v>2</x:v>
      </x:c>
      <x:c r="B6" t="str">
        <x:v>Air and emissions</x:v>
      </x:c>
      <x:c r="C6" s="12" t="str">
        <x:v>Station-level air history</x:v>
      </x:c>
      <x:c r="D6" t="str">
        <x:v>CPCB</x:v>
      </x:c>
      <x:c r="E6" t="str">
        <x:v>15 min to hourly</x:v>
      </x:c>
      <x:c r="F6" t="str">
        <x:v>SOURCE LINK ONLY</x:v>
      </x:c>
      <x:c r="G6" t="n">
        <x:v>0</x:v>
      </x:c>
      <x:c r="H6" t="str">
        <x:v>https://app.cpcbccr.com/ccr/</x:v>
      </x:c>
      <x:c r="I6" s="12" t="str">
        <x:v>CPCB dashboard may restrict automated history; public research archive is an alternative.</x:v>
      </x:c>
      <x:c r="J6" t="str">
        <x:v>02 Station-level air history</x:v>
      </x:c>
    </x:row>
    <x:row r="7" ht="24" customHeight="1">
      <x:c r="A7" t="n">
        <x:v>3</x:v>
      </x:c>
      <x:c r="B7" t="str">
        <x:v>Air and emissions</x:v>
      </x:c>
      <x:c r="C7" s="12" t="str">
        <x:v>CPCB hourly 2015-19</x:v>
      </x:c>
      <x:c r="D7" t="str">
        <x:v>Princeton / CPCB</x:v>
      </x:c>
      <x:c r="E7" t="str">
        <x:v>Hourly</x:v>
      </x:c>
      <x:c r="F7" t="str">
        <x:v>SOURCE LINK ONLY</x:v>
      </x:c>
      <x:c r="G7" t="n">
        <x:v>0</x:v>
      </x:c>
      <x:c r="H7" t="str">
        <x:v>https://indiaairpollution.mauzerall.scholar.princeton.edu/methodology</x:v>
      </x:c>
      <x:c r="I7" s="12" t="str">
        <x:v>Princeton current portal covers 2018–22; 2015–24 access requires contact; temporal mismatch.</x:v>
      </x:c>
      <x:c r="J7" t="str">
        <x:v>03 CPCB hourly 2015-19</x:v>
      </x:c>
    </x:row>
    <x:row r="8" ht="24" customHeight="1">
      <x:c r="A8" t="n">
        <x:v>4</x:v>
      </x:c>
      <x:c r="B8" t="str">
        <x:v>Air and emissions</x:v>
      </x:c>
      <x:c r="C8" s="12" t="str">
        <x:v>Daily city AQI 2015-23</x:v>
      </x:c>
      <x:c r="D8" t="str">
        <x:v>UrbanEmissions / CPCB</x:v>
      </x:c>
      <x:c r="E8" t="str">
        <x:v>Daily</x:v>
      </x:c>
      <x:c r="F8" t="str">
        <x:v>SOURCE LINK ONLY</x:v>
      </x:c>
      <x:c r="G8" t="n">
        <x:v>0</x:v>
      </x:c>
      <x:c r="H8" t="str">
        <x:v>https://github.com/urbanemissionsinfo/AQI_bulletins</x:v>
      </x:c>
      <x:c r="I8" s="12" t="str">
        <x:v>Master CSV downloadable on GitHub/Zenodo; full file not transferred into this session.</x:v>
      </x:c>
      <x:c r="J8" t="str">
        <x:v>04 Daily city AQI 2015-23</x:v>
      </x:c>
    </x:row>
    <x:row r="9" ht="24" customHeight="1">
      <x:c r="A9" t="n">
        <x:v>5</x:v>
      </x:c>
      <x:c r="B9" t="str">
        <x:v>Air and emissions</x:v>
      </x:c>
      <x:c r="C9" s="12" t="str">
        <x:v>Location-wise ambient air</x:v>
      </x:c>
      <x:c r="D9" t="str">
        <x:v>CPCB / state boards</x:v>
      </x:c>
      <x:c r="E9" t="str">
        <x:v>Daily, state-year</x:v>
      </x:c>
      <x:c r="F9" t="str">
        <x:v>SOURCE LINK ONLY</x:v>
      </x:c>
      <x:c r="G9" t="n">
        <x:v>0</x:v>
      </x:c>
      <x:c r="H9" t="str">
        <x:v>https://www.data.gov.in/</x:v>
      </x:c>
      <x:c r="I9" s="12" t="str">
        <x:v>Find relevant state/year resources in OGD catalog; exact edition unverified.</x:v>
      </x:c>
      <x:c r="J9" t="str">
        <x:v>05 Location-wise ambient air</x:v>
      </x:c>
    </x:row>
    <x:row r="10" ht="24" customHeight="1">
      <x:c r="A10" t="n">
        <x:v>6</x:v>
      </x:c>
      <x:c r="B10" t="str">
        <x:v>Air and emissions</x:v>
      </x:c>
      <x:c r="C10" s="12" t="str">
        <x:v>Day-wise city AQI Dataful</x:v>
      </x:c>
      <x:c r="D10" t="str">
        <x:v>Dataful / CPCB</x:v>
      </x:c>
      <x:c r="E10" t="str">
        <x:v>Daily</x:v>
      </x:c>
      <x:c r="F10" t="str">
        <x:v>PUBLIC PREVIEW</x:v>
      </x:c>
      <x:c r="G10" t="n">
        <x:v>10</x:v>
      </x:c>
      <x:c r="H10" t="str">
        <x:v>https://dataful.in/datasets/18571/</x:v>
      </x:c>
      <x:c r="I10" s="12" t="str">
        <x:v>Ten publicly displayed genuine preview rows included, NOT 544k-row export.</x:v>
      </x:c>
      <x:c r="J10" t="str">
        <x:v>06 Day-wise city AQI Dataful</x:v>
      </x:c>
    </x:row>
    <x:row r="11" ht="24" customHeight="1">
      <x:c r="A11" t="n">
        <x:v>7</x:v>
      </x:c>
      <x:c r="B11" t="str">
        <x:v>Air and emissions</x:v>
      </x:c>
      <x:c r="C11" s="12" t="str">
        <x:v>NAMP ambient air</x:v>
      </x:c>
      <x:c r="D11" t="str">
        <x:v>CPCB</x:v>
      </x:c>
      <x:c r="E11" t="str">
        <x:v>Monthly / annual</x:v>
      </x:c>
      <x:c r="F11" t="str">
        <x:v>SOURCE LINK ONLY</x:v>
      </x:c>
      <x:c r="G11" t="n">
        <x:v>0</x:v>
      </x:c>
      <x:c r="H11" t="str">
        <x:v>https://cpcb.nic.in/namp-data/</x:v>
      </x:c>
      <x:c r="I11" s="12" t="str">
        <x:v>NAMP public tables often annual aggregates, not strictly monthly; verify edition.</x:v>
      </x:c>
      <x:c r="J11" t="str">
        <x:v>07 NAMP ambient air</x:v>
      </x:c>
    </x:row>
    <x:row r="12" ht="24" customHeight="1">
      <x:c r="A12" t="n">
        <x:v>8</x:v>
      </x:c>
      <x:c r="B12" t="str">
        <x:v>Air and emissions</x:v>
      </x:c>
      <x:c r="C12" s="12" t="str">
        <x:v>Sentinel-5P trace gases</x:v>
      </x:c>
      <x:c r="D12" t="str">
        <x:v>ESA / Copernicus</x:v>
      </x:c>
      <x:c r="E12" t="str">
        <x:v>Daily, gridded</x:v>
      </x:c>
      <x:c r="F12" t="str">
        <x:v>SOURCE LINK ONLY</x:v>
      </x:c>
      <x:c r="G12" t="n">
        <x:v>0</x:v>
      </x:c>
      <x:c r="H12" t="str">
        <x:v>https://developers.google.com/earth-engine/datasets/tags/tropomi</x:v>
      </x:c>
      <x:c r="I12" s="12" t="str">
        <x:v>Satellite rasters require spatial extraction (Earth Engine/NetCDF), not directly Excel.</x:v>
      </x:c>
      <x:c r="J12" t="str">
        <x:v>08 Sentinel-5P trace gases</x:v>
      </x:c>
    </x:row>
    <x:row r="13" ht="24" customHeight="1">
      <x:c r="A13" t="n">
        <x:v>9</x:v>
      </x:c>
      <x:c r="B13" t="str">
        <x:v>Air and emissions</x:v>
      </x:c>
      <x:c r="C13" s="12" t="str">
        <x:v>Noise monitoring network</x:v>
      </x:c>
      <x:c r="D13" t="str">
        <x:v>CPCB</x:v>
      </x:c>
      <x:c r="E13" t="str">
        <x:v>Hourly</x:v>
      </x:c>
      <x:c r="F13" t="str">
        <x:v>SOURCE LINK ONLY</x:v>
      </x:c>
      <x:c r="G13" t="n">
        <x:v>0</x:v>
      </x:c>
      <x:c r="H13" t="str">
        <x:v>https://cpcb.nic.in/</x:v>
      </x:c>
      <x:c r="I13" s="12" t="str">
        <x:v>Station time series / open download not verified.</x:v>
      </x:c>
      <x:c r="J13" t="str">
        <x:v>09 Noise monitoring network</x:v>
      </x:c>
    </x:row>
    <x:row r="14" ht="24" customHeight="1">
      <x:c r="A14" t="n">
        <x:v>10</x:v>
      </x:c>
      <x:c r="B14" t="str">
        <x:v>Weather and climate</x:v>
      </x:c>
      <x:c r="C14" s="12" t="str">
        <x:v>IMD rainfall 0.25 deg</x:v>
      </x:c>
      <x:c r="D14" t="str">
        <x:v>IMD Pune</x:v>
      </x:c>
      <x:c r="E14" t="str">
        <x:v>Daily, grid</x:v>
      </x:c>
      <x:c r="F14" t="str">
        <x:v>SOURCE LINK ONLY</x:v>
      </x:c>
      <x:c r="G14" t="n">
        <x:v>0</x:v>
      </x:c>
      <x:c r="H14" t="str">
        <x:v>https://www.imdpune.gov.in/cmpg/Griddata/Rainfall_25_Bin.html</x:v>
      </x:c>
      <x:c r="I14" s="12" t="str">
        <x:v>Binary gridded annual files require geospatial parsing; no raw extract downloaded.</x:v>
      </x:c>
      <x:c r="J14" t="str">
        <x:v>10 IMD rainfall 0.25 deg</x:v>
      </x:c>
    </x:row>
    <x:row r="15" ht="24" customHeight="1">
      <x:c r="A15" t="n">
        <x:v>11</x:v>
      </x:c>
      <x:c r="B15" t="str">
        <x:v>Weather and climate</x:v>
      </x:c>
      <x:c r="C15" s="12" t="str">
        <x:v>IMD gridded max min temp</x:v>
      </x:c>
      <x:c r="D15" t="str">
        <x:v>IMD Pune</x:v>
      </x:c>
      <x:c r="E15" t="str">
        <x:v>Daily, grid</x:v>
      </x:c>
      <x:c r="F15" t="str">
        <x:v>SOURCE LINK ONLY</x:v>
      </x:c>
      <x:c r="G15" t="n">
        <x:v>0</x:v>
      </x:c>
      <x:c r="H15" t="str">
        <x:v>https://www.imdpune.gov.in/cmpg/Griddata/Max_1_Bin.html</x:v>
      </x:c>
      <x:c r="I15" s="12" t="str">
        <x:v>IMD public standard temperatures are 1-degree, not necessarily 0.25-degree.</x:v>
      </x:c>
      <x:c r="J15" t="str">
        <x:v>11 IMD gridded max min temp</x:v>
      </x:c>
    </x:row>
    <x:row r="16" ht="24" customHeight="1">
      <x:c r="A16" t="n">
        <x:v>12</x:v>
      </x:c>
      <x:c r="B16" t="str">
        <x:v>Weather and climate</x:v>
      </x:c>
      <x:c r="C16" s="12" t="str">
        <x:v>Monthly subdiv rainfall</x:v>
      </x:c>
      <x:c r="D16" t="str">
        <x:v>IMD</x:v>
      </x:c>
      <x:c r="E16" t="str">
        <x:v>Monthly</x:v>
      </x:c>
      <x:c r="F16" t="str">
        <x:v>SOURCE LINK ONLY</x:v>
      </x:c>
      <x:c r="G16" t="n">
        <x:v>0</x:v>
      </x:c>
      <x:c r="H16" t="str">
        <x:v>https://data.gov.in/dataset-group-name/rainfall</x:v>
      </x:c>
      <x:c r="I16" s="12" t="str">
        <x:v>Choose district/subdivision and date span; some archive resources end 2017.</x:v>
      </x:c>
      <x:c r="J16" t="str">
        <x:v>12 Monthly subdiv rainfall</x:v>
      </x:c>
    </x:row>
    <x:row r="17" ht="24" customHeight="1">
      <x:c r="A17" t="n">
        <x:v>13</x:v>
      </x:c>
      <x:c r="B17" t="str">
        <x:v>Weather and climate</x:v>
      </x:c>
      <x:c r="C17" s="12" t="str">
        <x:v>IMD AWS ARG stations</x:v>
      </x:c>
      <x:c r="D17" t="str">
        <x:v>IMD</x:v>
      </x:c>
      <x:c r="E17" t="str">
        <x:v>Hourly</x:v>
      </x:c>
      <x:c r="F17" t="str">
        <x:v>SOURCE LINK ONLY</x:v>
      </x:c>
      <x:c r="G17" t="n">
        <x:v>0</x:v>
      </x:c>
      <x:c r="H17" t="str">
        <x:v>https://api.imd.gov.in/public/api_reference.html</x:v>
      </x:c>
      <x:c r="I17" s="12" t="str">
        <x:v>Official endpoint returned 401 Unauthorized during verification.</x:v>
      </x:c>
      <x:c r="J17" t="str">
        <x:v>13 IMD AWS ARG stations</x:v>
      </x:c>
    </x:row>
    <x:row r="18" ht="24" customHeight="1">
      <x:c r="A18" t="n">
        <x:v>14</x:v>
      </x:c>
      <x:c r="B18" t="str">
        <x:v>Weather and climate</x:v>
      </x:c>
      <x:c r="C18" s="12" t="str">
        <x:v>Heat cold cyclone events</x:v>
      </x:c>
      <x:c r="D18" t="str">
        <x:v>IMD</x:v>
      </x:c>
      <x:c r="E18" t="str">
        <x:v>Event</x:v>
      </x:c>
      <x:c r="F18" t="str">
        <x:v>SOURCE LINK ONLY</x:v>
      </x:c>
      <x:c r="G18" t="n">
        <x:v>0</x:v>
      </x:c>
      <x:c r="H18" t="str">
        <x:v>https://rsmcnewdelhi.imd.gov.in/report.php?internal_menu=MzM%3D</x:v>
      </x:c>
      <x:c r="I18" s="12" t="str">
        <x:v>Cyclone best-track PDFs are downloadable; heat/cold-wave data separate.</x:v>
      </x:c>
      <x:c r="J18" t="str">
        <x:v>14 Heat cold cyclone events</x:v>
      </x:c>
    </x:row>
    <x:row r="19" ht="24" customHeight="1">
      <x:c r="A19" t="n">
        <x:v>15</x:v>
      </x:c>
      <x:c r="B19" t="str">
        <x:v>Weather and climate</x:v>
      </x:c>
      <x:c r="C19" s="12" t="str">
        <x:v>NASA POWER climate</x:v>
      </x:c>
      <x:c r="D19" t="str">
        <x:v>NASA</x:v>
      </x:c>
      <x:c r="E19" t="str">
        <x:v>Daily, grid/point</x:v>
      </x:c>
      <x:c r="F19" t="str">
        <x:v>SOURCE LINK ONLY</x:v>
      </x:c>
      <x:c r="G19" t="n">
        <x:v>0</x:v>
      </x:c>
      <x:c r="H19" t="str">
        <x:v>https://power.larc.nasa.gov/docs/services/api/temporal/daily/</x:v>
      </x:c>
      <x:c r="I19" s="12" t="str">
        <x:v>API supported; location and date range must be selected. No observations transferred.</x:v>
      </x:c>
      <x:c r="J19" t="str">
        <x:v>15 NASA POWER climate</x:v>
      </x:c>
    </x:row>
    <x:row r="20" ht="24" customHeight="1">
      <x:c r="A20" t="n">
        <x:v>16</x:v>
      </x:c>
      <x:c r="B20" t="str">
        <x:v>Weather and climate</x:v>
      </x:c>
      <x:c r="C20" s="12" t="str">
        <x:v>INSAT weather satellite</x:v>
      </x:c>
      <x:c r="D20" t="str">
        <x:v>ISRO MOSDAC</x:v>
      </x:c>
      <x:c r="E20" t="str">
        <x:v>Sub-daily</x:v>
      </x:c>
      <x:c r="F20" t="str">
        <x:v>SOURCE LINK ONLY</x:v>
      </x:c>
      <x:c r="G20" t="n">
        <x:v>0</x:v>
      </x:c>
      <x:c r="H20" t="str">
        <x:v>https://www.mosdac.gov.in/insat-3dr-data-products</x:v>
      </x:c>
      <x:c r="I20" s="12" t="str">
        <x:v>Satellite HDF image/grid data require export and account/access procedures.</x:v>
      </x:c>
      <x:c r="J20" t="str">
        <x:v>16 INSAT weather satellite</x:v>
      </x:c>
    </x:row>
    <x:row r="21" ht="24" customHeight="1">
      <x:c r="A21" t="n">
        <x:v>17</x:v>
      </x:c>
      <x:c r="B21" t="str">
        <x:v>Weather and climate</x:v>
      </x:c>
      <x:c r="C21" s="12" t="str">
        <x:v>ERA5 Open-Meteo archive</x:v>
      </x:c>
      <x:c r="D21" t="str">
        <x:v>ECMWF / Open-Meteo</x:v>
      </x:c>
      <x:c r="E21" t="str">
        <x:v>Hourly since 1940</x:v>
      </x:c>
      <x:c r="F21" t="str">
        <x:v>SOURCE LINK ONLY</x:v>
      </x:c>
      <x:c r="G21" t="n">
        <x:v>0</x:v>
      </x:c>
      <x:c r="H21" t="str">
        <x:v>https://open-meteo.com/en/docs/historical-weather-api</x:v>
      </x:c>
      <x:c r="I21" s="12" t="str">
        <x:v>Choose coordinates/time/variables; API request was not accessible to web browser.</x:v>
      </x:c>
      <x:c r="J21" t="str">
        <x:v>17 ERA5 Open-Meteo archive</x:v>
      </x:c>
    </x:row>
    <x:row r="22" ht="24" customHeight="1">
      <x:c r="A22" t="n">
        <x:v>18</x:v>
      </x:c>
      <x:c r="B22" t="str">
        <x:v>Energy</x:v>
      </x:c>
      <x:c r="C22" s="12" t="str">
        <x:v>Daily power supply</x:v>
      </x:c>
      <x:c r="D22" t="str">
        <x:v>Grid-India</x:v>
      </x:c>
      <x:c r="E22" t="str">
        <x:v>Daily, state</x:v>
      </x:c>
      <x:c r="F22" t="str">
        <x:v>SOURCE LINK ONLY</x:v>
      </x:c>
      <x:c r="G22" t="n">
        <x:v>0</x:v>
      </x:c>
      <x:c r="H22" t="str">
        <x:v>https://report.grid-india.in/</x:v>
      </x:c>
      <x:c r="I22" s="12" t="str">
        <x:v>Daily state-level reports hosted at Grid India; commercial repackaging also exists.</x:v>
      </x:c>
      <x:c r="J22" t="str">
        <x:v>18 Daily power supply</x:v>
      </x:c>
    </x:row>
    <x:row r="23" ht="24" customHeight="1">
      <x:c r="A23" t="n">
        <x:v>19</x:v>
      </x:c>
      <x:c r="B23" t="str">
        <x:v>Energy</x:v>
      </x:c>
      <x:c r="C23" s="12" t="str">
        <x:v>Monthly power supply</x:v>
      </x:c>
      <x:c r="D23" t="str">
        <x:v>Ministry of Power / CEA</x:v>
      </x:c>
      <x:c r="E23" t="str">
        <x:v>Monthly, state</x:v>
      </x:c>
      <x:c r="F23" t="str">
        <x:v>SOURCE LINK ONLY</x:v>
      </x:c>
      <x:c r="G23" t="n">
        <x:v>0</x:v>
      </x:c>
      <x:c r="H23" t="str">
        <x:v>https://cea.nic.in/reports/dashboardView?headingId=107&amp;lang=en&amp;subHeadingId=1003&amp;subSubHeadingId=10010&amp;title=Power+Supply+Position+-+Energy</x:v>
      </x:c>
      <x:c r="I23" s="12" t="str">
        <x:v>Verified CEA monthly bulletin; AIKosh specific file not independently located.</x:v>
      </x:c>
      <x:c r="J23" t="str">
        <x:v>19 Monthly power supply</x:v>
      </x:c>
    </x:row>
    <x:row r="24" ht="24" customHeight="1">
      <x:c r="A24" t="n">
        <x:v>20</x:v>
      </x:c>
      <x:c r="B24" t="str">
        <x:v>Energy</x:v>
      </x:c>
      <x:c r="C24" s="12" t="str">
        <x:v>Hourly demand solar wind</x:v>
      </x:c>
      <x:c r="D24" t="str">
        <x:v>IIT Guwahati / Grid-India</x:v>
      </x:c>
      <x:c r="E24" t="str">
        <x:v>Hourly</x:v>
      </x:c>
      <x:c r="F24" t="str">
        <x:v>SOURCE LINK ONLY</x:v>
      </x:c>
      <x:c r="G24" t="n">
        <x:v>0</x:v>
      </x:c>
      <x:c r="H24" t="str">
        <x:v>https://data.mendeley.com/datasets/y58jknpgs8</x:v>
      </x:c>
      <x:c r="I24" s="12" t="str">
        <x:v>Mendeley dataset in many monthly XLSX files, 2021–2025; select subsets.</x:v>
      </x:c>
      <x:c r="J24" t="str">
        <x:v>20 Hourly demand solar wind</x:v>
      </x:c>
    </x:row>
    <x:row r="25" ht="24" customHeight="1">
      <x:c r="A25" t="n">
        <x:v>21</x:v>
      </x:c>
      <x:c r="B25" t="str">
        <x:v>Energy</x:v>
      </x:c>
      <x:c r="C25" s="12" t="str">
        <x:v>Capacity and generation</x:v>
      </x:c>
      <x:c r="D25" t="str">
        <x:v>CEA</x:v>
      </x:c>
      <x:c r="E25" t="str">
        <x:v>Monthly</x:v>
      </x:c>
      <x:c r="F25" t="str">
        <x:v>SOURCE LINK ONLY</x:v>
      </x:c>
      <x:c r="G25" t="n">
        <x:v>0</x:v>
      </x:c>
      <x:c r="H25" t="str">
        <x:v>https://cea.nic.in/reports/external/daily-generation?lang=en</x:v>
      </x:c>
      <x:c r="I25" s="12" t="str">
        <x:v>CEA/NPP generation and capacity reports; monthly selector.</x:v>
      </x:c>
      <x:c r="J25" t="str">
        <x:v>21 Capacity and generation</x:v>
      </x:c>
    </x:row>
    <x:row r="26" ht="24" customHeight="1">
      <x:c r="A26" t="n">
        <x:v>22</x:v>
      </x:c>
      <x:c r="B26" t="str">
        <x:v>Energy</x:v>
      </x:c>
      <x:c r="C26" s="12" t="str">
        <x:v>Daily coal stock</x:v>
      </x:c>
      <x:c r="D26" t="str">
        <x:v>CEA</x:v>
      </x:c>
      <x:c r="E26" t="str">
        <x:v>Daily</x:v>
      </x:c>
      <x:c r="F26" t="str">
        <x:v>SOURCE LINK ONLY</x:v>
      </x:c>
      <x:c r="G26" t="n">
        <x:v>0</x:v>
      </x:c>
      <x:c r="H26" t="str">
        <x:v>https://cea.nic.in/reports/external/daily-generation?lang=en</x:v>
      </x:c>
      <x:c r="I26" s="12" t="str">
        <x:v>Use Fuel Reports &gt; Daily Coal Report; Excel file available on portal.</x:v>
      </x:c>
      <x:c r="J26" t="str">
        <x:v>22 Daily coal stock</x:v>
      </x:c>
    </x:row>
    <x:row r="27" ht="24" customHeight="1">
      <x:c r="A27" t="n">
        <x:v>23</x:v>
      </x:c>
      <x:c r="B27" t="str">
        <x:v>Energy</x:v>
      </x:c>
      <x:c r="C27" s="12" t="str">
        <x:v>Realtime demand generation</x:v>
      </x:c>
      <x:c r="D27" t="str">
        <x:v>Ministry of Power</x:v>
      </x:c>
      <x:c r="E27" t="str">
        <x:v>15 min</x:v>
      </x:c>
      <x:c r="F27" t="str">
        <x:v>SOURCE LINK ONLY</x:v>
      </x:c>
      <x:c r="G27" t="n">
        <x:v>0</x:v>
      </x:c>
      <x:c r="H27" t="str">
        <x:v>https://vidyutpravah.in/</x:v>
      </x:c>
      <x:c r="I27" s="12" t="str">
        <x:v>Real-time web dashboard, historical export not confirmed.</x:v>
      </x:c>
      <x:c r="J27" t="str">
        <x:v>23 Realtime demand generation</x:v>
      </x:c>
    </x:row>
    <x:row r="28" ht="24" customHeight="1">
      <x:c r="A28" t="n">
        <x:v>24</x:v>
      </x:c>
      <x:c r="B28" t="str">
        <x:v>Energy</x:v>
      </x:c>
      <x:c r="C28" s="12" t="str">
        <x:v>Renewable capacity by state</x:v>
      </x:c>
      <x:c r="D28" t="str">
        <x:v>MNRE</x:v>
      </x:c>
      <x:c r="E28" t="str">
        <x:v>Monthly</x:v>
      </x:c>
      <x:c r="F28" t="str">
        <x:v>SOURCE LINK ONLY</x:v>
      </x:c>
      <x:c r="G28" t="n">
        <x:v>0</x:v>
      </x:c>
      <x:c r="H28" t="str">
        <x:v>https://mnre.gov.in/</x:v>
      </x:c>
      <x:c r="I28" s="12" t="str">
        <x:v>State-wise renewable capacity reports; select publication period.</x:v>
      </x:c>
      <x:c r="J28" t="str">
        <x:v>24 Renewable capacity by state</x:v>
      </x:c>
    </x:row>
    <x:row r="29" ht="24" customHeight="1">
      <x:c r="A29" t="n">
        <x:v>25</x:v>
      </x:c>
      <x:c r="B29" t="str">
        <x:v>Energy</x:v>
      </x:c>
      <x:c r="C29" s="12" t="str">
        <x:v>Petroleum products sales</x:v>
      </x:c>
      <x:c r="D29" t="str">
        <x:v>PPAC</x:v>
      </x:c>
      <x:c r="E29" t="str">
        <x:v>Monthly, state</x:v>
      </x:c>
      <x:c r="F29" t="str">
        <x:v>SOURCE LINK ONLY</x:v>
      </x:c>
      <x:c r="G29" t="n">
        <x:v>0</x:v>
      </x:c>
      <x:c r="H29" t="str">
        <x:v>https://ppac.gov.in/consumption/state-wise</x:v>
      </x:c>
      <x:c r="I29" s="12" t="str">
        <x:v>State-wise sales may not include each product-month cross-tab; join separately.</x:v>
      </x:c>
      <x:c r="J29" t="str">
        <x:v>25 Petroleum products sales</x:v>
      </x:c>
    </x:row>
    <x:row r="30" ht="24" customHeight="1">
      <x:c r="A30" t="n">
        <x:v>26</x:v>
      </x:c>
      <x:c r="B30" t="str">
        <x:v>Energy</x:v>
      </x:c>
      <x:c r="C30" s="12" t="str">
        <x:v>Eight core industries</x:v>
      </x:c>
      <x:c r="D30" t="str">
        <x:v>DPIIT / OEA</x:v>
      </x:c>
      <x:c r="E30" t="str">
        <x:v>Monthly</x:v>
      </x:c>
      <x:c r="F30" t="str">
        <x:v>SOURCE LINK ONLY</x:v>
      </x:c>
      <x:c r="G30" t="n">
        <x:v>0</x:v>
      </x:c>
      <x:c r="H30" t="str">
        <x:v>https://eaindustry.nic.in/</x:v>
      </x:c>
      <x:c r="I30" s="12" t="str">
        <x:v>Find Index of Eight Core Industries ICI release series.</x:v>
      </x:c>
      <x:c r="J30" t="str">
        <x:v>26 Eight core industries</x:v>
      </x:c>
    </x:row>
    <x:row r="31" ht="24" customHeight="1">
      <x:c r="A31" t="n">
        <x:v>27</x:v>
      </x:c>
      <x:c r="B31" t="str">
        <x:v>Energy</x:v>
      </x:c>
      <x:c r="C31" s="12" t="str">
        <x:v>Electricity by sector state</x:v>
      </x:c>
      <x:c r="D31" t="str">
        <x:v>CEA</x:v>
      </x:c>
      <x:c r="E31" t="str">
        <x:v>Annual</x:v>
      </x:c>
      <x:c r="F31" t="str">
        <x:v>SOURCE LINK ONLY</x:v>
      </x:c>
      <x:c r="G31" t="n">
        <x:v>0</x:v>
      </x:c>
      <x:c r="H31" t="str">
        <x:v>https://cea.nic.in/</x:v>
      </x:c>
      <x:c r="I31" s="12" t="str">
        <x:v>Annual General Review electricity consumption by sector/state.</x:v>
      </x:c>
      <x:c r="J31" t="str">
        <x:v>27 Electricity by sector state</x:v>
      </x:c>
    </x:row>
    <x:row r="32" ht="24" customHeight="1">
      <x:c r="A32" t="n">
        <x:v>28</x:v>
      </x:c>
      <x:c r="B32" t="str">
        <x:v>Water</x:v>
      </x:c>
      <x:c r="C32" s="12" t="str">
        <x:v>India WRIS rainfall</x:v>
      </x:c>
      <x:c r="D32" t="str">
        <x:v>India-WRIS</x:v>
      </x:c>
      <x:c r="E32" t="str">
        <x:v>Daily</x:v>
      </x:c>
      <x:c r="F32" t="str">
        <x:v>SOURCE LINK ONLY</x:v>
      </x:c>
      <x:c r="G32" t="n">
        <x:v>0</x:v>
      </x:c>
      <x:c r="H32" t="str">
        <x:v>https://www.indiawris.gov.in/</x:v>
      </x:c>
      <x:c r="I32" s="12" t="str">
        <x:v>Interactive India-WRIS portal; choose stations/district/time period.</x:v>
      </x:c>
      <x:c r="J32" t="str">
        <x:v>28 India WRIS rainfall</x:v>
      </x:c>
    </x:row>
    <x:row r="33" ht="24" customHeight="1">
      <x:c r="A33" t="n">
        <x:v>29</x:v>
      </x:c>
      <x:c r="B33" t="str">
        <x:v>Water</x:v>
      </x:c>
      <x:c r="C33" s="12" t="str">
        <x:v>India WRIS reservoirs</x:v>
      </x:c>
      <x:c r="D33" t="str">
        <x:v>India-WRIS / CWC</x:v>
      </x:c>
      <x:c r="E33" t="str">
        <x:v>Daily</x:v>
      </x:c>
      <x:c r="F33" t="str">
        <x:v>SOURCE LINK ONLY</x:v>
      </x:c>
      <x:c r="G33" t="n">
        <x:v>0</x:v>
      </x:c>
      <x:c r="H33" t="str">
        <x:v>https://nwdp.nwic.gov.in/en/dataset/reservoir-water-level-manual-daily-centre-water-commission_cwc</x:v>
      </x:c>
      <x:c r="I33" s="12" t="str">
        <x:v>NWDP verified CSV by state; daily records NOT downloaded here.</x:v>
      </x:c>
      <x:c r="J33" t="str">
        <x:v>29 India WRIS reservoirs</x:v>
      </x:c>
    </x:row>
    <x:row r="34" ht="24" customHeight="1">
      <x:c r="A34" t="n">
        <x:v>30</x:v>
      </x:c>
      <x:c r="B34" t="str">
        <x:v>Water</x:v>
      </x:c>
      <x:c r="C34" s="12" t="str">
        <x:v>River level discharge</x:v>
      </x:c>
      <x:c r="D34" t="str">
        <x:v>India-WRIS / CWC</x:v>
      </x:c>
      <x:c r="E34" t="str">
        <x:v>Daily</x:v>
      </x:c>
      <x:c r="F34" t="str">
        <x:v>SOURCE LINK ONLY</x:v>
      </x:c>
      <x:c r="G34" t="n">
        <x:v>0</x:v>
      </x:c>
      <x:c r="H34" t="str">
        <x:v>https://www.indiawris.gov.in/</x:v>
      </x:c>
      <x:c r="I34" s="12" t="str">
        <x:v>Filter river observation stations on NWDP/India-WRIS.</x:v>
      </x:c>
      <x:c r="J34" t="str">
        <x:v>30 River level discharge</x:v>
      </x:c>
    </x:row>
    <x:row r="35" ht="24" customHeight="1">
      <x:c r="A35" t="n">
        <x:v>31</x:v>
      </x:c>
      <x:c r="B35" t="str">
        <x:v>Water</x:v>
      </x:c>
      <x:c r="C35" s="12" t="str">
        <x:v>Groundwater manual</x:v>
      </x:c>
      <x:c r="D35" t="str">
        <x:v>CGWB / India-WRIS</x:v>
      </x:c>
      <x:c r="E35" t="str">
        <x:v>Periodic, station</x:v>
      </x:c>
      <x:c r="F35" t="str">
        <x:v>SOURCE LINK ONLY</x:v>
      </x:c>
      <x:c r="G35" t="n">
        <x:v>0</x:v>
      </x:c>
      <x:c r="H35" t="str">
        <x:v>https://cgwb.gov.in/en/ground-water-level-monitoring</x:v>
      </x:c>
      <x:c r="I35" s="12" t="str">
        <x:v>Periodic manual depth-to-water surveys; station/year selection.</x:v>
      </x:c>
      <x:c r="J35" t="str">
        <x:v>31 Groundwater manual</x:v>
      </x:c>
    </x:row>
    <x:row r="36" ht="24" customHeight="1">
      <x:c r="A36" t="n">
        <x:v>32</x:v>
      </x:c>
      <x:c r="B36" t="str">
        <x:v>Water</x:v>
      </x:c>
      <x:c r="C36" s="12" t="str">
        <x:v>Groundwater telemetry</x:v>
      </x:c>
      <x:c r="D36" t="str">
        <x:v>CGWB / India-WRIS</x:v>
      </x:c>
      <x:c r="E36" t="str">
        <x:v>Near real-time</x:v>
      </x:c>
      <x:c r="F36" t="str">
        <x:v>SOURCE LINK ONLY</x:v>
      </x:c>
      <x:c r="G36" t="n">
        <x:v>0</x:v>
      </x:c>
      <x:c r="H36" t="str">
        <x:v>https://cgwb.gov.in/en/ground-water-level-monitoring</x:v>
      </x:c>
      <x:c r="I36" s="12" t="str">
        <x:v>Telemetry access/coverage varies; CGWB describes 6-hour reporting at some sites.</x:v>
      </x:c>
      <x:c r="J36" t="str">
        <x:v>32 Groundwater telemetry</x:v>
      </x:c>
    </x:row>
    <x:row r="37" ht="24" customHeight="1">
      <x:c r="A37" t="n">
        <x:v>33</x:v>
      </x:c>
      <x:c r="B37" t="str">
        <x:v>Water</x:v>
      </x:c>
      <x:c r="C37" s="12" t="str">
        <x:v>Soil moisture evapotrans</x:v>
      </x:c>
      <x:c r="D37" t="str">
        <x:v>India-WRIS</x:v>
      </x:c>
      <x:c r="E37" t="str">
        <x:v>Daily</x:v>
      </x:c>
      <x:c r="F37" t="str">
        <x:v>SOURCE LINK ONLY</x:v>
      </x:c>
      <x:c r="G37" t="n">
        <x:v>0</x:v>
      </x:c>
      <x:c r="H37" t="str">
        <x:v>https://www.indiawris.gov.in/</x:v>
      </x:c>
      <x:c r="I37" s="12" t="str">
        <x:v>Gridded layers need geographic sampling or raster export.</x:v>
      </x:c>
      <x:c r="J37" t="str">
        <x:v>33 Soil moisture evapotrans</x:v>
      </x:c>
    </x:row>
    <x:row r="38" ht="24" customHeight="1">
      <x:c r="A38" t="n">
        <x:v>34</x:v>
      </x:c>
      <x:c r="B38" t="str">
        <x:v>Water</x:v>
      </x:c>
      <x:c r="C38" s="12" t="str">
        <x:v>Weekly reservoir bulletin</x:v>
      </x:c>
      <x:c r="D38" t="str">
        <x:v>CWC</x:v>
      </x:c>
      <x:c r="E38" t="str">
        <x:v>Weekly</x:v>
      </x:c>
      <x:c r="F38" t="str">
        <x:v>PUBLIC PREVIEW</x:v>
      </x:c>
      <x:c r="G38" t="n">
        <x:v>10</x:v>
      </x:c>
      <x:c r="H38" t="str">
        <x:v>https://dataful.in/datasets/19368/</x:v>
      </x:c>
      <x:c r="I38" s="12" t="str">
        <x:v>Ten real weekly storage sample records reproduced from Dataful/CWC, not full export.</x:v>
      </x:c>
      <x:c r="J38" t="str">
        <x:v>34 Weekly reservoir bulletin</x:v>
      </x:c>
    </x:row>
    <x:row r="39" ht="24" customHeight="1">
      <x:c r="A39" t="n">
        <x:v>35</x:v>
      </x:c>
      <x:c r="B39" t="str">
        <x:v>Water</x:v>
      </x:c>
      <x:c r="C39" s="12" t="str">
        <x:v>Water quality NWMP</x:v>
      </x:c>
      <x:c r="D39" t="str">
        <x:v>CPCB</x:v>
      </x:c>
      <x:c r="E39" t="str">
        <x:v>Monthly / quarterly</x:v>
      </x:c>
      <x:c r="F39" t="str">
        <x:v>SOURCE LINK ONLY</x:v>
      </x:c>
      <x:c r="G39" t="n">
        <x:v>0</x:v>
      </x:c>
      <x:c r="H39" t="str">
        <x:v>https://cpcb.nic.in/</x:v>
      </x:c>
      <x:c r="I39" s="12" t="str">
        <x:v>Some states publish monitoring PDFs; full harmonized national raw file not verified.</x:v>
      </x:c>
      <x:c r="J39" t="str">
        <x:v>35 Water quality NWMP</x:v>
      </x:c>
    </x:row>
    <x:row r="40" ht="24" customHeight="1">
      <x:c r="A40" t="n">
        <x:v>36</x:v>
      </x:c>
      <x:c r="B40" t="str">
        <x:v>Transport</x:v>
      </x:c>
      <x:c r="C40" s="12" t="str">
        <x:v>VAHAN fuel registration</x:v>
      </x:c>
      <x:c r="D40" t="str">
        <x:v>VAHAN</x:v>
      </x:c>
      <x:c r="E40" t="str">
        <x:v>Monthly, RTO/state</x:v>
      </x:c>
      <x:c r="F40" t="str">
        <x:v>SOURCE LINK ONLY</x:v>
      </x:c>
      <x:c r="G40" t="n">
        <x:v>0</x:v>
      </x:c>
      <x:c r="H40" t="str">
        <x:v>https://www.analytics.parivahan.gov.in/analytics/publicdashboard/vahan?lang=en</x:v>
      </x:c>
      <x:c r="I40" s="12" t="str">
        <x:v>Dashboard may require licensed ODC-By data; tabular report export is interactive.</x:v>
      </x:c>
      <x:c r="J40" t="str">
        <x:v>36 VAHAN fuel registration</x:v>
      </x:c>
    </x:row>
    <x:row r="41" ht="24" customHeight="1">
      <x:c r="A41" t="n">
        <x:v>37</x:v>
      </x:c>
      <x:c r="B41" t="str">
        <x:v>Transport</x:v>
      </x:c>
      <x:c r="C41" s="12" t="str">
        <x:v>VAHAN vehicle classes</x:v>
      </x:c>
      <x:c r="D41" t="str">
        <x:v>VAHAN</x:v>
      </x:c>
      <x:c r="E41" t="str">
        <x:v>Monthly</x:v>
      </x:c>
      <x:c r="F41" t="str">
        <x:v>SOURCE LINK ONLY</x:v>
      </x:c>
      <x:c r="G41" t="n">
        <x:v>0</x:v>
      </x:c>
      <x:c r="H41" t="str">
        <x:v>https://www.analytics.parivahan.gov.in/analytics/publicdashboard/vahan?lang=en</x:v>
      </x:c>
      <x:c r="I41" s="12" t="str">
        <x:v>Interactive classes filtering; automated bulk export not verified.</x:v>
      </x:c>
      <x:c r="J41" t="str">
        <x:v>37 VAHAN vehicle classes</x:v>
      </x:c>
      <x:c r="K41" t="str">
        <x:v>DATA Vehicle Categories</x:v>
      </x:c>
      <x:c r="L41" t="str">
        <x:v>RTO inventory by vehicle class; not VAHAN monthly registrations</x:v>
      </x:c>
    </x:row>
    <x:row r="42" ht="24" customHeight="1">
      <x:c r="A42" t="n">
        <x:v>38</x:v>
      </x:c>
      <x:c r="B42" t="str">
        <x:v>Transport</x:v>
      </x:c>
      <x:c r="C42" s="12" t="str">
        <x:v>VAHAN emission norms</x:v>
      </x:c>
      <x:c r="D42" t="str">
        <x:v>VAHAN</x:v>
      </x:c>
      <x:c r="E42" t="str">
        <x:v>Monthly</x:v>
      </x:c>
      <x:c r="F42" t="str">
        <x:v>SOURCE LINK ONLY</x:v>
      </x:c>
      <x:c r="G42" t="n">
        <x:v>0</x:v>
      </x:c>
      <x:c r="H42" t="str">
        <x:v>https://www.analytics.parivahan.gov.in/analytics/publicdashboard/vahan?lang=en</x:v>
      </x:c>
      <x:c r="I42" s="12" t="str">
        <x:v>Interactive emission norm filter; automated bulk export not verified.</x:v>
      </x:c>
      <x:c r="J42" t="str">
        <x:v>38 VAHAN emission norms</x:v>
      </x:c>
    </x:row>
    <x:row r="43" ht="24" customHeight="1">
      <x:c r="A43" t="n">
        <x:v>39</x:v>
      </x:c>
      <x:c r="B43" t="str">
        <x:v>Transport</x:v>
      </x:c>
      <x:c r="C43" s="12" t="str">
        <x:v>VAHAN categories</x:v>
      </x:c>
      <x:c r="D43" t="str">
        <x:v>VAHAN</x:v>
      </x:c>
      <x:c r="E43" t="str">
        <x:v>Monthly</x:v>
      </x:c>
      <x:c r="F43" t="str">
        <x:v>SOURCE LINK ONLY</x:v>
      </x:c>
      <x:c r="G43" t="n">
        <x:v>0</x:v>
      </x:c>
      <x:c r="H43" t="str">
        <x:v>https://www.analytics.parivahan.gov.in/analytics/publicdashboard/vahan?lang=en</x:v>
      </x:c>
      <x:c r="I43" s="12" t="str">
        <x:v>Interactive category filter; automated bulk export not verified.</x:v>
      </x:c>
      <x:c r="J43" t="str">
        <x:v>39 VAHAN categories</x:v>
      </x:c>
      <x:c r="K43" t="str">
        <x:v>DATA Vehicle Categories</x:v>
      </x:c>
      <x:c r="L43" t="str">
        <x:v>Counts by class; not monthly VAHAN category registrations</x:v>
      </x:c>
    </x:row>
    <x:row r="44" ht="24" customHeight="1">
      <x:c r="A44" t="n">
        <x:v>40</x:v>
      </x:c>
      <x:c r="B44" t="str">
        <x:v>Transport</x:v>
      </x:c>
      <x:c r="C44" s="12" t="str">
        <x:v>State road accidents</x:v>
      </x:c>
      <x:c r="D44" t="str">
        <x:v>MoRTH</x:v>
      </x:c>
      <x:c r="E44" t="str">
        <x:v>Annual, state</x:v>
      </x:c>
      <x:c r="F44" t="str">
        <x:v>SOURCE LINK ONLY</x:v>
      </x:c>
      <x:c r="G44" t="n">
        <x:v>0</x:v>
      </x:c>
      <x:c r="H44" t="str">
        <x:v>https://morth.nic.in/</x:v>
      </x:c>
      <x:c r="I44" s="12" t="str">
        <x:v>Annual report PDF contains tabulated official statistics.</x:v>
      </x:c>
      <x:c r="J44" t="str">
        <x:v>40 State road accidents</x:v>
      </x:c>
    </x:row>
    <x:row r="45" ht="24" customHeight="1">
      <x:c r="A45" t="n">
        <x:v>41</x:v>
      </x:c>
      <x:c r="B45" t="str">
        <x:v>Transport</x:v>
      </x:c>
      <x:c r="C45" s="12" t="str">
        <x:v>Airport passengers</x:v>
      </x:c>
      <x:c r="D45" t="str">
        <x:v>AAI</x:v>
      </x:c>
      <x:c r="E45" t="str">
        <x:v>Monthly</x:v>
      </x:c>
      <x:c r="F45" t="str">
        <x:v>SOURCE LINK ONLY</x:v>
      </x:c>
      <x:c r="G45" t="n">
        <x:v>0</x:v>
      </x:c>
      <x:c r="H45" t="str">
        <x:v>https://www.aai.aero/en/business-opportunities/aai-traffic-news</x:v>
      </x:c>
      <x:c r="I45" s="12" t="str">
        <x:v>Traffic News Annexure III monthly passenger tables.</x:v>
      </x:c>
      <x:c r="J45" t="str">
        <x:v>41 Airport passengers</x:v>
      </x:c>
      <x:c r="K45" t="str">
        <x:v>DATA Airport Traffic</x:v>
      </x:c>
      <x:c r="L45" t="str">
        <x:v>Maharashtra FY 2022-24, not the monthly AAI series</x:v>
      </x:c>
    </x:row>
    <x:row r="46" ht="24" customHeight="1">
      <x:c r="A46" t="n">
        <x:v>42</x:v>
      </x:c>
      <x:c r="B46" t="str">
        <x:v>Socio-economic and urban</x:v>
      </x:c>
      <x:c r="C46" s="12" t="str">
        <x:v>Census 2011 pop amenities</x:v>
      </x:c>
      <x:c r="D46" t="str">
        <x:v>Census of India</x:v>
      </x:c>
      <x:c r="E46" t="str">
        <x:v>District/town</x:v>
      </x:c>
      <x:c r="F46" t="str">
        <x:v>SOURCE LINK ONLY</x:v>
      </x:c>
      <x:c r="G46" t="n">
        <x:v>0</x:v>
      </x:c>
      <x:c r="H46" t="str">
        <x:v>https://censusindia.gov.in/census.website/en/data/population-finder</x:v>
      </x:c>
      <x:c r="I46" s="12" t="str">
        <x:v>Population Finder and Census Tables publish XLSX/CSV; combine indicators.</x:v>
      </x:c>
      <x:c r="J46" t="str">
        <x:v>42 Census 2011 pop amenities</x:v>
      </x:c>
      <x:c r="K46" t="str">
        <x:v>DATA Census Wide</x:v>
      </x:c>
      <x:c r="L46" t="str">
        <x:v>1991/2001/2011 Maharashtra districts only</x:v>
      </x:c>
    </x:row>
    <x:row r="47" ht="24" customHeight="1">
      <x:c r="A47" t="n">
        <x:v>43</x:v>
      </x:c>
      <x:c r="B47" t="str">
        <x:v>Socio-economic and urban</x:v>
      </x:c>
      <x:c r="C47" s="12" t="str">
        <x:v>State GDP national accounts</x:v>
      </x:c>
      <x:c r="D47" t="str">
        <x:v>MoSPI</x:v>
      </x:c>
      <x:c r="E47" t="str">
        <x:v>Annual / quarterly</x:v>
      </x:c>
      <x:c r="F47" t="str">
        <x:v>SOURCE LINK ONLY</x:v>
      </x:c>
      <x:c r="G47" t="n">
        <x:v>0</x:v>
      </x:c>
      <x:c r="H47" t="str">
        <x:v>https://esankhyiki.mospi.gov.in/</x:v>
      </x:c>
      <x:c r="I47" s="12" t="str">
        <x:v>Pick state domestic product tables by reference year and series.</x:v>
      </x:c>
      <x:c r="J47" t="str">
        <x:v>43 State GDP national accounts</x:v>
      </x:c>
      <x:c r="K47" t="str">
        <x:v>DATA District Indicators</x:v>
      </x:c>
      <x:c r="L47" t="str">
        <x:v>Selected economic proxies, NOT full state GDP accounts</x:v>
      </x:c>
    </x:row>
    <x:row r="48" ht="24" customHeight="1">
      <x:c r="A48" t="n">
        <x:v>44</x:v>
      </x:c>
      <x:c r="B48" t="str">
        <x:v>Socio-economic and urban</x:v>
      </x:c>
      <x:c r="C48" s="12" t="str">
        <x:v>PLFS employment</x:v>
      </x:c>
      <x:c r="D48" t="str">
        <x:v>MoSPI</x:v>
      </x:c>
      <x:c r="E48" t="str">
        <x:v>Quarterly</x:v>
      </x:c>
      <x:c r="F48" t="str">
        <x:v>SOURCE LINK ONLY</x:v>
      </x:c>
      <x:c r="G48" t="n">
        <x:v>0</x:v>
      </x:c>
      <x:c r="H48" t="str">
        <x:v>https://esankhyiki.mospi.gov.in/catalogue-main/catalogue?page=0&amp;product=PLFS</x:v>
      </x:c>
      <x:c r="I48" s="12" t="str">
        <x:v>MoSPI table catalogue also publishes monthly PLFS; choose quarterly tables.</x:v>
      </x:c>
      <x:c r="J48" t="str">
        <x:v>44 PLFS employment</x:v>
      </x:c>
    </x:row>
    <x:row r="49" ht="24" customHeight="1">
      <x:c r="A49" t="n">
        <x:v>45</x:v>
      </x:c>
      <x:c r="B49" t="str">
        <x:v>Socio-economic and urban</x:v>
      </x:c>
      <x:c r="C49" s="12" t="str">
        <x:v>SDG India Index</x:v>
      </x:c>
      <x:c r="D49" t="str">
        <x:v>NITI Aayog</x:v>
      </x:c>
      <x:c r="E49" t="str">
        <x:v>State, annual editions</x:v>
      </x:c>
      <x:c r="F49" t="str">
        <x:v>RELATED SUMMARY</x:v>
      </x:c>
      <x:c r="G49" t="n">
        <x:v>3</x:v>
      </x:c>
      <x:c r="H49" t="str">
        <x:v>https://www.niti.gov.in/reports-sdg</x:v>
      </x:c>
      <x:c r="I49" s="12" t="str">
        <x:v>National aggregate edition scores included; state index table not extracted.</x:v>
      </x:c>
      <x:c r="J49" t="str">
        <x:v>45 SDG India Index</x:v>
      </x:c>
    </x:row>
    <x:row r="50" ht="24" customHeight="1">
      <x:c r="A50" t="n">
        <x:v>46</x:v>
      </x:c>
      <x:c r="B50" t="str">
        <x:v>Socio-economic and urban</x:v>
      </x:c>
      <x:c r="C50" s="12" t="str">
        <x:v>Multidimensional poverty</x:v>
      </x:c>
      <x:c r="D50" t="str">
        <x:v>NITI Aayog</x:v>
      </x:c>
      <x:c r="E50" t="str">
        <x:v>State/district</x:v>
      </x:c>
      <x:c r="F50" t="str">
        <x:v>SOURCE LINK ONLY</x:v>
      </x:c>
      <x:c r="G50" t="n">
        <x:v>0</x:v>
      </x:c>
      <x:c r="H50" t="str">
        <x:v>https://www.niti.gov.in/node/868</x:v>
      </x:c>
      <x:c r="I50" s="12" t="str">
        <x:v>National MPI 2023 based on NFHS-5 (2019–2021), not annual time series.</x:v>
      </x:c>
      <x:c r="J50" t="str">
        <x:v>46 Multidimensional poverty</x:v>
      </x:c>
    </x:row>
    <x:row r="51" ht="24" customHeight="1">
      <x:c r="A51" t="n">
        <x:v>47</x:v>
      </x:c>
      <x:c r="B51" t="str">
        <x:v>Socio-economic and urban</x:v>
      </x:c>
      <x:c r="C51" s="12" t="str">
        <x:v>GST collections state</x:v>
      </x:c>
      <x:c r="D51" t="str">
        <x:v>GSTN / Finance Ministry</x:v>
      </x:c>
      <x:c r="E51" t="str">
        <x:v>Monthly, state</x:v>
      </x:c>
      <x:c r="F51" t="str">
        <x:v>SOURCE LINK ONLY</x:v>
      </x:c>
      <x:c r="G51" t="n">
        <x:v>0</x:v>
      </x:c>
      <x:c r="H51" t="str">
        <x:v>https://www.gst.gov.in/</x:v>
      </x:c>
      <x:c r="I51" s="12" t="str">
        <x:v>Official monthly press notes and tables; compilation requires extraction.</x:v>
      </x:c>
      <x:c r="J51" t="str">
        <x:v>47 GST collections state</x:v>
      </x:c>
    </x:row>
    <x:row r="52" ht="24" customHeight="1">
      <x:c r="A52" t="n">
        <x:v>48</x:v>
      </x:c>
      <x:c r="B52" t="str">
        <x:v>Socio-economic and urban</x:v>
      </x:c>
      <x:c r="C52" s="12" t="str">
        <x:v>Smart Cities indicators</x:v>
      </x:c>
      <x:c r="D52" t="str">
        <x:v>MoHUA</x:v>
      </x:c>
      <x:c r="E52" t="str">
        <x:v>City</x:v>
      </x:c>
      <x:c r="F52" t="str">
        <x:v>SOURCE LINK ONLY</x:v>
      </x:c>
      <x:c r="G52" t="n">
        <x:v>0</x:v>
      </x:c>
      <x:c r="H52" t="str">
        <x:v>https://smartcities.gov.in/</x:v>
      </x:c>
      <x:c r="I52" s="12" t="str">
        <x:v>Project/city indicators vary by municipal dashboard; unified export not verified.</x:v>
      </x:c>
      <x:c r="J52" t="str">
        <x:v>48 Smart Cities indicators</x:v>
      </x:c>
      <x:c r="K52" t="str">
        <x:v>DATA District Indicators</x:v>
      </x:c>
      <x:c r="L52" t="str">
        <x:v>Mixed district-level indicators, not Smart Cities source</x:v>
      </x:c>
    </x:row>
    <x:row r="53" ht="24" customHeight="1">
      <x:c r="A53" t="n">
        <x:v>49</x:v>
      </x:c>
      <x:c r="B53" t="str">
        <x:v>Agriculture and land</x:v>
      </x:c>
      <x:c r="C53" s="12" t="str">
        <x:v>Daily mandi prices</x:v>
      </x:c>
      <x:c r="D53" t="str">
        <x:v>Agriculture / AGMARKNET</x:v>
      </x:c>
      <x:c r="E53" t="str">
        <x:v>Daily</x:v>
      </x:c>
      <x:c r="F53" t="str">
        <x:v>SOURCE LINK ONLY</x:v>
      </x:c>
      <x:c r="G53" t="n">
        <x:v>0</x:v>
      </x:c>
      <x:c r="H53" t="str">
        <x:v>https://www.data.gov.in/resource/current-daily-price-various-commodities-various-markets-mandi</x:v>
      </x:c>
      <x:c r="I53" s="12" t="str">
        <x:v>OGD API and catalog resources; likely API key or portal export.</x:v>
      </x:c>
      <x:c r="J53" t="str">
        <x:v>49 Daily mandi prices</x:v>
      </x:c>
    </x:row>
    <x:row r="54" ht="24" customHeight="1">
      <x:c r="A54" t="n">
        <x:v>50</x:v>
      </x:c>
      <x:c r="B54" t="str">
        <x:v>Agriculture and land</x:v>
      </x:c>
      <x:c r="C54" s="12" t="str">
        <x:v>Crop area production yield</x:v>
      </x:c>
      <x:c r="D54" t="str">
        <x:v>Agriculture DES</x:v>
      </x:c>
      <x:c r="E54" t="str">
        <x:v>District, annual</x:v>
      </x:c>
      <x:c r="F54" t="str">
        <x:v>SOURCE LINK ONLY</x:v>
      </x:c>
      <x:c r="G54" t="n">
        <x:v>0</x:v>
      </x:c>
      <x:c r="H54" t="str">
        <x:v>https://data.desagri.gov.in/website/crops-apy-report-web</x:v>
      </x:c>
      <x:c r="I54" s="12" t="str">
        <x:v>Choose state/district/crop/year in interactive report.</x:v>
      </x:c>
      <x:c r="J54" t="str">
        <x:v>50 Crop area production yield</x:v>
      </x:c>
    </x:row>
    <x:row r="55" ht="24" customHeight="1">
      <x:c r="A55" t="n">
        <x:v>51</x:v>
      </x:c>
      <x:c r="B55" t="str">
        <x:v>Agriculture and land</x:v>
      </x:c>
      <x:c r="C55" s="12" t="str">
        <x:v>State of Forest Report</x:v>
      </x:c>
      <x:c r="D55" t="str">
        <x:v>Forest Survey of India</x:v>
      </x:c>
      <x:c r="E55" t="str">
        <x:v>State, biennial</x:v>
      </x:c>
      <x:c r="F55" t="str">
        <x:v>SOURCE LINK ONLY</x:v>
      </x:c>
      <x:c r="G55" t="n">
        <x:v>0</x:v>
      </x:c>
      <x:c r="H55" t="str">
        <x:v>https://www.fsi.nic.in/forest-report-2023</x:v>
      </x:c>
      <x:c r="I55" s="12" t="str">
        <x:v>Latest 2023 edition located; forest cover map layers can have fees.</x:v>
      </x:c>
      <x:c r="J55" t="str">
        <x:v>51 State of Forest Report</x:v>
      </x:c>
    </x:row>
    <x:row r="56" ht="24" customHeight="1">
      <x:c r="A56" t="n">
        <x:v>52</x:v>
      </x:c>
      <x:c r="B56" t="str">
        <x:v>Agriculture and land</x:v>
      </x:c>
      <x:c r="C56" s="12" t="str">
        <x:v>Land use land cover</x:v>
      </x:c>
      <x:c r="D56" t="str">
        <x:v>ISRO NRSC Bhuvan</x:v>
      </x:c>
      <x:c r="E56" t="str">
        <x:v>Gridded</x:v>
      </x:c>
      <x:c r="F56" t="str">
        <x:v>SOURCE LINK ONLY</x:v>
      </x:c>
      <x:c r="G56" t="n">
        <x:v>0</x:v>
      </x:c>
      <x:c r="H56" t="str">
        <x:v>https://bhuvan.nrsc.gov.in/wiki/index.php/How_to_use_WMS_services</x:v>
      </x:c>
      <x:c r="I56" s="12" t="str">
        <x:v>Web map services provide LULC spatial layer; requires GIS to extract tabular data.</x:v>
      </x:c>
      <x:c r="J56" t="str">
        <x:v>52 Land use land cover</x:v>
      </x:c>
    </x:row>
    <x:row r="57" ht="24" customHeight="1">
      <x:c r="A57" t="n">
        <x:v>53</x:v>
      </x:c>
      <x:c r="B57" t="str">
        <x:v>Hazards and health</x:v>
      </x:c>
      <x:c r="C57" s="12" t="str">
        <x:v>VIIRS active fires</x:v>
      </x:c>
      <x:c r="D57" t="str">
        <x:v>NASA FIRMS</x:v>
      </x:c>
      <x:c r="E57" t="str">
        <x:v>Daily, gridded</x:v>
      </x:c>
      <x:c r="F57" t="str">
        <x:v>SOURCE LINK ONLY</x:v>
      </x:c>
      <x:c r="G57" t="n">
        <x:v>0</x:v>
      </x:c>
      <x:c r="H57" t="str">
        <x:v>https://firms.modaps.eosdis.nasa.gov/content/active_fire/</x:v>
      </x:c>
      <x:c r="I57" s="12" t="str">
        <x:v>Earthdata login / archive download required for extended history.</x:v>
      </x:c>
      <x:c r="J57" t="str">
        <x:v>53 VIIRS active fires</x:v>
      </x:c>
    </x:row>
    <x:row r="58" ht="24" customHeight="1">
      <x:c r="A58" t="n">
        <x:v>54</x:v>
      </x:c>
      <x:c r="B58" t="str">
        <x:v>Hazards and health</x:v>
      </x:c>
      <x:c r="C58" s="12" t="str">
        <x:v>Health facility HMIS</x:v>
      </x:c>
      <x:c r="D58" t="str">
        <x:v>MoHFW</x:v>
      </x:c>
      <x:c r="E58" t="str">
        <x:v>Monthly, district</x:v>
      </x:c>
      <x:c r="F58" t="str">
        <x:v>SOURCE LINK ONLY</x:v>
      </x:c>
      <x:c r="G58" t="n">
        <x:v>0</x:v>
      </x:c>
      <x:c r="H58" t="str">
        <x:v>https://hmis.mohfw.gov.in/</x:v>
      </x:c>
      <x:c r="I58" s="12" t="str">
        <x:v>HMIS monthly district public exports depend on portal permissions.</x:v>
      </x:c>
      <x:c r="J58" t="str">
        <x:v>54 Health facility HMIS</x:v>
      </x:c>
      <x:c r="K58" t="str">
        <x:v>DATA Health Facilities</x:v>
      </x:c>
      <x:c r="L58" t="str">
        <x:v>Facility counts, NOT MoHFW HMIS monthly observations</x:v>
      </x:c>
    </x:row>
    <x:row r="59" ht="24" customHeight="1">
      <x:c r="A59" t="n">
        <x:v>55</x:v>
      </x:c>
      <x:c r="B59" t="str">
        <x:v>Hazards and health</x:v>
      </x:c>
      <x:c r="C59" s="12" t="str">
        <x:v>IDSP weekly outbreaks</x:v>
      </x:c>
      <x:c r="D59" t="str">
        <x:v>MoHFW / NCDC</x:v>
      </x:c>
      <x:c r="E59" t="str">
        <x:v>Weekly</x:v>
      </x:c>
      <x:c r="F59" t="str">
        <x:v>RELATED SUMMARY</x:v>
      </x:c>
      <x:c r="G59" t="n">
        <x:v>6</x:v>
      </x:c>
      <x:c r="H59" t="str">
        <x:v>https://ncdc.mohfw.gov.in/includes/WeeklyOutbreaks.php</x:v>
      </x:c>
      <x:c r="I59" s="12" t="str">
        <x:v>Weekly PDFs online; full weekly district extraction not performed. Annual totals are supplemental.</x:v>
      </x:c>
      <x:c r="J59" t="str">
        <x:v>55 IDSP weekly outbreaks</x:v>
      </x:c>
    </x:row>
  </x:sheetData>
  <x:mergeCells>
    <x:mergeCell ref="A1:J2"/>
  </x:mergeCells>
  <x:conditionalFormatting sqref="F5:F59">
    <x:cfRule type="expression" dxfId="0" priority="1">
      <x:formula>F5="PUBLIC PREVIEW"</x:formula>
    </x:cfRule>
    <x:cfRule type="expression" dxfId="1" priority="2">
      <x:formula>F5="SOURCE LINK ONLY"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01  |  Real-time AQI by station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CPCB</x:v>
      </x:c>
    </x:row>
    <x:row r="6" ht="25" customHeight="1">
      <x:c r="A6" s="9" t="str">
        <x:v>ORIGINAL RESOLUTION</x:v>
      </x:c>
      <x:c r="B6" s="12" t="str">
        <x:v>Hourly</x:v>
      </x:c>
    </x:row>
    <x:row r="7" ht="25" customHeight="1">
      <x:c r="A7" s="9" t="str">
        <x:v>CORRELATE WITH</x:v>
      </x:c>
      <x:c r="B7" s="12" t="str">
        <x:v>Weather, load</x:v>
      </x:c>
    </x:row>
    <x:row r="8" ht="31" customHeight="1">
      <x:c r="A8" s="9" t="str">
        <x:v>VERIFIED SOURCE</x:v>
      </x:c>
      <x:c r="B8" s="12" t="str">
        <x:v>https://www.data.gov.in/catalog/real-time-air-quality-index</x:v>
      </x:c>
    </x:row>
    <x:row r="9" ht="31" customHeight="1">
      <x:c r="A9" s="9" t="str">
        <x:v>ALTERNATE SOURCE</x:v>
      </x:c>
      <x:c r="B9" s="12" t="str">
        <x:v>https://cpcb.nic.in/</x:v>
      </x:c>
    </x:row>
    <x:row r="10" ht="31" customHeight="1">
      <x:c r="A10" s="9" t="str">
        <x:v>ACCESS / CAVEAT</x:v>
      </x:c>
      <x:c r="B10" s="12" t="str">
        <x:v>OGD catalog: API may require key or separate download.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</x:v>
      </x:c>
      <x:c r="B13" s="22" t="str">
        <x:v>state</x:v>
      </x:c>
      <x:c r="C13" s="22" t="str">
        <x:v>city</x:v>
      </x:c>
      <x:c r="D13" s="22" t="str">
        <x:v>station</x:v>
      </x:c>
      <x:c r="E13" s="22" t="str">
        <x:v>pollutant</x:v>
      </x:c>
      <x:c r="F13" s="22" t="str">
        <x:v>value</x:v>
      </x:c>
      <x:c r="G13" s="22" t="str">
        <x:v>unit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02  |  Station-level air history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CPCB</x:v>
      </x:c>
    </x:row>
    <x:row r="6" ht="25" customHeight="1">
      <x:c r="A6" s="9" t="str">
        <x:v>ORIGINAL RESOLUTION</x:v>
      </x:c>
      <x:c r="B6" s="12" t="str">
        <x:v>15 min to hourly</x:v>
      </x:c>
    </x:row>
    <x:row r="7" ht="25" customHeight="1">
      <x:c r="A7" s="9" t="str">
        <x:v>CORRELATE WITH</x:v>
      </x:c>
      <x:c r="B7" s="12" t="str">
        <x:v>Weather, fires</x:v>
      </x:c>
    </x:row>
    <x:row r="8" ht="31" customHeight="1">
      <x:c r="A8" s="9" t="str">
        <x:v>VERIFIED SOURCE</x:v>
      </x:c>
      <x:c r="B8" s="12" t="str">
        <x:v>https://app.cpcbccr.com/ccr/</x:v>
      </x:c>
    </x:row>
    <x:row r="9" ht="31" customHeight="1">
      <x:c r="A9" s="9" t="str">
        <x:v>ALTERNATE SOURCE</x:v>
      </x:c>
      <x:c r="B9" s="12" t="str">
        <x:v>https://github.com/Vonter/india-cpcb-aqi</x:v>
      </x:c>
    </x:row>
    <x:row r="10" ht="31" customHeight="1">
      <x:c r="A10" s="9" t="str">
        <x:v>ACCESS / CAVEAT</x:v>
      </x:c>
      <x:c r="B10" s="12" t="str">
        <x:v>CPCB dashboard may restrict automated history; public research archive is an alternative.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</x:v>
      </x:c>
      <x:c r="B13" s="22" t="str">
        <x:v>station</x:v>
      </x:c>
      <x:c r="C13" s="22" t="str">
        <x:v>pollutant</x:v>
      </x:c>
      <x:c r="D13" s="22" t="str">
        <x:v>value</x:v>
      </x:c>
      <x:c r="E13" s="22" t="str">
        <x:v>unit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03  |  CPCB hourly 2015-19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Princeton / CPCB</x:v>
      </x:c>
    </x:row>
    <x:row r="6" ht="25" customHeight="1">
      <x:c r="A6" s="9" t="str">
        <x:v>ORIGINAL RESOLUTION</x:v>
      </x:c>
      <x:c r="B6" s="12" t="str">
        <x:v>Hourly</x:v>
      </x:c>
    </x:row>
    <x:row r="7" ht="25" customHeight="1">
      <x:c r="A7" s="9" t="str">
        <x:v>CORRELATE WITH</x:v>
      </x:c>
      <x:c r="B7" s="12" t="str">
        <x:v>IMD rain/temp, FIRMS</x:v>
      </x:c>
    </x:row>
    <x:row r="8" ht="31" customHeight="1">
      <x:c r="A8" s="9" t="str">
        <x:v>VERIFIED SOURCE</x:v>
      </x:c>
      <x:c r="B8" s="12" t="str">
        <x:v>https://indiaairpollution.mauzerall.scholar.princeton.edu/methodology</x:v>
      </x:c>
    </x:row>
    <x:row r="9" ht="31" customHeight="1">
      <x:c r="A9" s="9" t="str">
        <x:v>ALTERNATE SOURCE</x:v>
      </x:c>
      <x:c r="B9" s="12" t="str">
        <x:v>https://aaqr.org/articles/aaqr-21-08-oa-0204</x:v>
      </x:c>
    </x:row>
    <x:row r="10" ht="31" customHeight="1">
      <x:c r="A10" s="9" t="str">
        <x:v>ACCESS / CAVEAT</x:v>
      </x:c>
      <x:c r="B10" s="12" t="str">
        <x:v>Princeton current portal covers 2018–22; 2015–24 access requires contact; temporal mismatch.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timestamp</x:v>
      </x:c>
      <x:c r="B13" s="22" t="str">
        <x:v>city</x:v>
      </x:c>
      <x:c r="C13" s="22" t="str">
        <x:v>station</x:v>
      </x:c>
      <x:c r="D13" s="22" t="str">
        <x:v>pollutant</x:v>
      </x:c>
      <x:c r="E13" s="22" t="str">
        <x:v>value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04  |  Daily city AQI 2015-23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UrbanEmissions / CPCB</x:v>
      </x:c>
    </x:row>
    <x:row r="6" ht="25" customHeight="1">
      <x:c r="A6" s="9" t="str">
        <x:v>ORIGINAL RESOLUTION</x:v>
      </x:c>
      <x:c r="B6" s="12" t="str">
        <x:v>Daily</x:v>
      </x:c>
    </x:row>
    <x:row r="7" ht="25" customHeight="1">
      <x:c r="A7" s="9" t="str">
        <x:v>CORRELATE WITH</x:v>
      </x:c>
      <x:c r="B7" s="12" t="str">
        <x:v>Vehicles, festivals</x:v>
      </x:c>
    </x:row>
    <x:row r="8" ht="31" customHeight="1">
      <x:c r="A8" s="9" t="str">
        <x:v>VERIFIED SOURCE</x:v>
      </x:c>
      <x:c r="B8" s="12" t="str">
        <x:v>https://github.com/urbanemissionsinfo/AQI_bulletins</x:v>
      </x:c>
    </x:row>
    <x:row r="9" ht="31" customHeight="1">
      <x:c r="A9" s="9" t="str">
        <x:v>ALTERNATE SOURCE</x:v>
      </x:c>
      <x:c r="B9" s="12" t="str">
        <x:v>https://zenodo.org/records/11146316</x:v>
      </x:c>
    </x:row>
    <x:row r="10" ht="31" customHeight="1">
      <x:c r="A10" s="9" t="str">
        <x:v>ACCESS / CAVEAT</x:v>
      </x:c>
      <x:c r="B10" s="12" t="str">
        <x:v>Master CSV downloadable on GitHub/Zenodo; full file not transferred into this session.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city</x:v>
      </x:c>
      <x:c r="C13" s="22" t="str">
        <x:v>aqi</x:v>
      </x:c>
      <x:c r="D13" s="22" t="str">
        <x:v>category</x:v>
      </x:c>
      <x:c r="E13" s="22" t="str">
        <x:v>dominant_pollutant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05  |  Location-wise ambient air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CPCB / state boards</x:v>
      </x:c>
    </x:row>
    <x:row r="6" ht="25" customHeight="1">
      <x:c r="A6" s="9" t="str">
        <x:v>ORIGINAL RESOLUTION</x:v>
      </x:c>
      <x:c r="B6" s="12" t="str">
        <x:v>Daily, state-year</x:v>
      </x:c>
    </x:row>
    <x:row r="7" ht="25" customHeight="1">
      <x:c r="A7" s="9" t="str">
        <x:v>CORRELATE WITH</x:v>
      </x:c>
      <x:c r="B7" s="12" t="str">
        <x:v>Rainfall, temp</x:v>
      </x:c>
    </x:row>
    <x:row r="8" ht="31" customHeight="1">
      <x:c r="A8" s="9" t="str">
        <x:v>VERIFIED SOURCE</x:v>
      </x:c>
      <x:c r="B8" s="12" t="str">
        <x:v>https://www.data.gov.in/</x:v>
      </x:c>
    </x:row>
    <x:row r="9" ht="31" customHeight="1">
      <x:c r="A9" s="9" t="str">
        <x:v>ALTERNATE SOURCE</x:v>
      </x:c>
      <x:c r="B9" s="12" t="str">
        <x:v>https://cpcb.nic.in/namp-data/</x:v>
      </x:c>
    </x:row>
    <x:row r="10" ht="31" customHeight="1">
      <x:c r="A10" s="9" t="str">
        <x:v>ACCESS / CAVEAT</x:v>
      </x:c>
      <x:c r="B10" s="12" t="str">
        <x:v>Find relevant state/year resources in OGD catalog; exact edition unverified.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state</x:v>
      </x:c>
      <x:c r="C13" s="22" t="str">
        <x:v>location</x:v>
      </x:c>
      <x:c r="D13" s="22" t="str">
        <x:v>pollutant</x:v>
      </x:c>
      <x:c r="E13" s="22" t="str">
        <x:v>value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5" hidden="0" customWidth="1"/>
    <x:col min="5" max="5" width="25" hidden="0" customWidth="1"/>
    <x:col min="6" max="6" width="20" hidden="0" customWidth="1"/>
    <x:col min="7" max="7" width="25" hidden="0" customWidth="1"/>
    <x:col min="8" max="8" width="48" hidden="0" customWidth="1"/>
    <x:col min="9" max="9" width="48" hidden="0" customWidth="1"/>
  </x:cols>
  <x:sheetData>
    <x:row r="1">
      <x:c r="A1" s="19" t="str">
        <x:v>06  |  Day-wise city AQI Dataful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Dataful / CPCB</x:v>
      </x:c>
    </x:row>
    <x:row r="6" ht="25" customHeight="1">
      <x:c r="A6" s="9" t="str">
        <x:v>ORIGINAL RESOLUTION</x:v>
      </x:c>
      <x:c r="B6" s="12" t="str">
        <x:v>Daily</x:v>
      </x:c>
    </x:row>
    <x:row r="7" ht="25" customHeight="1">
      <x:c r="A7" s="9" t="str">
        <x:v>CORRELATE WITH</x:v>
      </x:c>
      <x:c r="B7" s="12" t="str">
        <x:v>Any daily series</x:v>
      </x:c>
    </x:row>
    <x:row r="8" ht="31" customHeight="1">
      <x:c r="A8" s="9" t="str">
        <x:v>VERIFIED SOURCE</x:v>
      </x:c>
      <x:c r="B8" s="12" t="str">
        <x:v>https://dataful.in/datasets/18571/</x:v>
      </x:c>
    </x:row>
    <x:row r="9" ht="31" customHeight="1">
      <x:c r="A9" s="9" t="str">
        <x:v>ALTERNATE SOURCE</x:v>
      </x:c>
      <x:c r="B9" s="12" t="str">
        <x:v>https://cpcb.nic.in/AQI_Bulletin.php</x:v>
      </x:c>
    </x:row>
    <x:row r="10" ht="31" customHeight="1">
      <x:c r="A10" s="9" t="str">
        <x:v>ACCESS / CAVEAT</x:v>
      </x:c>
      <x:c r="B10" s="12" t="str">
        <x:v>Ten publicly displayed genuine preview rows included, NOT 544k-row export.</x:v>
      </x:c>
    </x:row>
    <x:row r="12" ht="26" customHeight="1">
      <x:c r="A12" s="27" t="str">
        <x:v>PUBLIC PREVIEW — 10 original rows (NOT the full dataset)</x:v>
      </x:c>
      <x:c r="B12" s="27"/>
      <x:c r="C12" s="27"/>
      <x:c r="D12" s="27"/>
      <x:c r="E12" s="27"/>
      <x:c r="F12" s="27"/>
      <x:c r="G12" s="27"/>
      <x:c r="H12" s="27"/>
      <x:c r="I12" s="27"/>
    </x:row>
    <x:row r="13" ht="32" customHeight="1">
      <x:c r="A13" s="22" t="str">
        <x:v>date</x:v>
      </x:c>
      <x:c r="B13" s="22" t="str">
        <x:v>state</x:v>
      </x:c>
      <x:c r="C13" s="22" t="str">
        <x:v>area</x:v>
      </x:c>
      <x:c r="D13" s="22" t="str">
        <x:v>number_of_monitoring_stations</x:v>
      </x:c>
      <x:c r="E13" s="22" t="str">
        <x:v>prominent_pollutants</x:v>
      </x:c>
      <x:c r="F13" s="22" t="str">
        <x:v>aqi_value</x:v>
      </x:c>
      <x:c r="G13" s="22" t="str">
        <x:v>air_quality_status</x:v>
      </x:c>
      <x:c r="H13" s="22" t="str">
        <x:v>source_url</x:v>
      </x:c>
    </x:row>
    <x:row r="14" ht="21" customHeight="1">
      <x:c r="A14" t="str">
        <x:v>2026-10-27</x:v>
      </x:c>
      <x:c r="B14" t="str">
        <x:v>Haryana</x:v>
      </x:c>
      <x:c r="C14" t="str">
        <x:v>Yamunanagar</x:v>
      </x:c>
      <x:c r="D14" t="n">
        <x:v>1</x:v>
      </x:c>
      <x:c r="E14" t="str">
        <x:v>PM2.5</x:v>
      </x:c>
      <x:c r="F14" t="n">
        <x:v>184</x:v>
      </x:c>
      <x:c r="G14" t="str">
        <x:v>Moderate</x:v>
      </x:c>
      <x:c r="H14" t="str">
        <x:v>https://dataful.in/datasets/18571/</x:v>
      </x:c>
    </x:row>
    <x:row r="15" ht="21" customHeight="1">
      <x:c r="A15" t="str">
        <x:v>2026-10-27</x:v>
      </x:c>
      <x:c r="B15" t="str">
        <x:v>Maharashtra</x:v>
      </x:c>
      <x:c r="C15" t="str">
        <x:v>Ulhasnagar</x:v>
      </x:c>
      <x:c r="D15" t="n">
        <x:v>2</x:v>
      </x:c>
      <x:c r="E15" t="str">
        <x:v>PM10</x:v>
      </x:c>
      <x:c r="F15" t="n">
        <x:v>101</x:v>
      </x:c>
      <x:c r="G15" t="str">
        <x:v>Moderate</x:v>
      </x:c>
      <x:c r="H15" t="str">
        <x:v>https://dataful.in/datasets/18571/</x:v>
      </x:c>
    </x:row>
    <x:row r="16" ht="21" customHeight="1">
      <x:c r="A16" t="str">
        <x:v>2026-10-27</x:v>
      </x:c>
      <x:c r="B16" t="str">
        <x:v>Andhra Pradesh</x:v>
      </x:c>
      <x:c r="C16" t="str">
        <x:v>Tirumala</x:v>
      </x:c>
      <x:c r="D16" t="n">
        <x:v>1</x:v>
      </x:c>
      <x:c r="E16" t="str">
        <x:v>PM2.5</x:v>
      </x:c>
      <x:c r="F16" t="n">
        <x:v>109</x:v>
      </x:c>
      <x:c r="G16" t="str">
        <x:v>Moderate</x:v>
      </x:c>
      <x:c r="H16" t="str">
        <x:v>https://dataful.in/datasets/18571/</x:v>
      </x:c>
    </x:row>
    <x:row r="17" ht="21" customHeight="1">
      <x:c r="A17" t="str">
        <x:v>2026-10-27</x:v>
      </x:c>
      <x:c r="B17" t="str">
        <x:v>Andhra Pradesh</x:v>
      </x:c>
      <x:c r="C17" t="str">
        <x:v>Tirupati</x:v>
      </x:c>
      <x:c r="D17" t="n">
        <x:v>1</x:v>
      </x:c>
      <x:c r="E17" t="str">
        <x:v>PM10</x:v>
      </x:c>
      <x:c r="F17" t="n">
        <x:v>81</x:v>
      </x:c>
      <x:c r="G17" t="str">
        <x:v>Satisfactory</x:v>
      </x:c>
      <x:c r="H17" t="str">
        <x:v>https://dataful.in/datasets/18571/</x:v>
      </x:c>
    </x:row>
    <x:row r="18" ht="21" customHeight="1">
      <x:c r="A18" t="str">
        <x:v>2026-10-27</x:v>
      </x:c>
      <x:c r="B18" t="str">
        <x:v>Rajasthan</x:v>
      </x:c>
      <x:c r="C18" t="str">
        <x:v>Tonk</x:v>
      </x:c>
      <x:c r="D18" t="n">
        <x:v>1</x:v>
      </x:c>
      <x:c r="E18" t="str">
        <x:v>PM10</x:v>
      </x:c>
      <x:c r="F18" t="n">
        <x:v>173</x:v>
      </x:c>
      <x:c r="G18" t="str">
        <x:v>Moderate</x:v>
      </x:c>
      <x:c r="H18" t="str">
        <x:v>https://dataful.in/datasets/18571/</x:v>
      </x:c>
    </x:row>
    <x:row r="19" ht="21" customHeight="1">
      <x:c r="A19" t="str">
        <x:v>2026-10-27</x:v>
      </x:c>
      <x:c r="B19" t="str">
        <x:v>Chhattisgarh</x:v>
      </x:c>
      <x:c r="C19" t="str">
        <x:v>Tumidih</x:v>
      </x:c>
      <x:c r="D19" t="n">
        <x:v>1</x:v>
      </x:c>
      <x:c r="E19" t="str">
        <x:v>NO2</x:v>
      </x:c>
      <x:c r="F19" t="n">
        <x:v>77</x:v>
      </x:c>
      <x:c r="G19" t="str">
        <x:v>Satisfactory</x:v>
      </x:c>
      <x:c r="H19" t="str">
        <x:v>https://dataful.in/datasets/18571/</x:v>
      </x:c>
    </x:row>
    <x:row r="20" ht="21" customHeight="1">
      <x:c r="A20" t="str">
        <x:v>2026-10-27</x:v>
      </x:c>
      <x:c r="B20" t="str">
        <x:v>Rajasthan</x:v>
      </x:c>
      <x:c r="C20" t="str">
        <x:v>Udaipur</x:v>
      </x:c>
      <x:c r="D20" t="n">
        <x:v>1</x:v>
      </x:c>
      <x:c r="E20" t="str">
        <x:v>PM10</x:v>
      </x:c>
      <x:c r="F20" t="n">
        <x:v>153</x:v>
      </x:c>
      <x:c r="G20" t="str">
        <x:v>Moderate</x:v>
      </x:c>
      <x:c r="H20" t="str">
        <x:v>https://dataful.in/datasets/18571/</x:v>
      </x:c>
    </x:row>
    <x:row r="21" ht="21" customHeight="1">
      <x:c r="A21" t="str">
        <x:v>2026-10-27</x:v>
      </x:c>
      <x:c r="B21" t="str">
        <x:v>Madhya Pradesh</x:v>
      </x:c>
      <x:c r="C21" t="str">
        <x:v>Ujjain</x:v>
      </x:c>
      <x:c r="D21" t="n">
        <x:v>1</x:v>
      </x:c>
      <x:c r="E21" t="str">
        <x:v>O3</x:v>
      </x:c>
      <x:c r="F21" t="n">
        <x:v>113</x:v>
      </x:c>
      <x:c r="G21" t="str">
        <x:v>Moderate</x:v>
      </x:c>
      <x:c r="H21" t="str">
        <x:v>https://dataful.in/datasets/18571/</x:v>
      </x:c>
    </x:row>
    <x:row r="22" ht="21" customHeight="1">
      <x:c r="A22" t="str">
        <x:v>2026-10-27</x:v>
      </x:c>
      <x:c r="B22" t="str">
        <x:v>Gujarat</x:v>
      </x:c>
      <x:c r="C22" t="str">
        <x:v>Vadodara</x:v>
      </x:c>
      <x:c r="D22" t="n">
        <x:v>1</x:v>
      </x:c>
      <x:c r="E22" t="str">
        <x:v>PM2.5</x:v>
      </x:c>
      <x:c r="F22" t="n">
        <x:v>113</x:v>
      </x:c>
      <x:c r="G22" t="str">
        <x:v>Moderate</x:v>
      </x:c>
      <x:c r="H22" t="str">
        <x:v>https://dataful.in/datasets/18571/</x:v>
      </x:c>
    </x:row>
    <x:row r="23" ht="21" customHeight="1">
      <x:c r="A23" t="str">
        <x:v>2026-10-27</x:v>
      </x:c>
      <x:c r="B23" t="str">
        <x:v>Maharashtra</x:v>
      </x:c>
      <x:c r="C23" t="str">
        <x:v>Pimpri Chinchwad</x:v>
      </x:c>
      <x:c r="D23" t="n">
        <x:v>6</x:v>
      </x:c>
      <x:c r="E23" t="str">
        <x:v>PM2.5,PM10</x:v>
      </x:c>
      <x:c r="F23" t="n">
        <x:v>133</x:v>
      </x:c>
      <x:c r="G23" t="str">
        <x:v>Moderate</x:v>
      </x:c>
      <x:c r="H23" t="str">
        <x:v>https://dataful.in/datasets/18571/</x:v>
      </x:c>
    </x:row>
  </x:sheetData>
  <x:mergeCells>
    <x:mergeCell ref="A1:I2"/>
    <x:mergeCell ref="A12:I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07  |  NAMP ambient air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CPCB</x:v>
      </x:c>
    </x:row>
    <x:row r="6" ht="25" customHeight="1">
      <x:c r="A6" s="9" t="str">
        <x:v>ORIGINAL RESOLUTION</x:v>
      </x:c>
      <x:c r="B6" s="12" t="str">
        <x:v>Monthly / annual</x:v>
      </x:c>
    </x:row>
    <x:row r="7" ht="25" customHeight="1">
      <x:c r="A7" s="9" t="str">
        <x:v>CORRELATE WITH</x:v>
      </x:c>
      <x:c r="B7" s="12" t="str">
        <x:v>Industry, vehicles</x:v>
      </x:c>
    </x:row>
    <x:row r="8" ht="31" customHeight="1">
      <x:c r="A8" s="9" t="str">
        <x:v>VERIFIED SOURCE</x:v>
      </x:c>
      <x:c r="B8" s="12" t="str">
        <x:v>https://cpcb.nic.in/namp-data/</x:v>
      </x:c>
    </x:row>
    <x:row r="9" ht="31" customHeight="1">
      <x:c r="A9" s="9" t="str">
        <x:v>ALTERNATE SOURCE</x:v>
      </x:c>
      <x:c r="B9" s="12" t="str">
        <x:v>https://www.data.gov.in/</x:v>
      </x:c>
    </x:row>
    <x:row r="10" ht="31" customHeight="1">
      <x:c r="A10" s="9" t="str">
        <x:v>ACCESS / CAVEAT</x:v>
      </x:c>
      <x:c r="B10" s="12" t="str">
        <x:v>NAMP public tables often annual aggregates, not strictly monthly; verify edition.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period</x:v>
      </x:c>
      <x:c r="B13" s="22" t="str">
        <x:v>state</x:v>
      </x:c>
      <x:c r="C13" s="22" t="str">
        <x:v>station</x:v>
      </x:c>
      <x:c r="D13" s="22" t="str">
        <x:v>pollutant</x:v>
      </x:c>
      <x:c r="E13" s="22" t="str">
        <x:v>concentration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08  |  Sentinel-5P trace gases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ESA / Copernicus</x:v>
      </x:c>
    </x:row>
    <x:row r="6" ht="25" customHeight="1">
      <x:c r="A6" s="9" t="str">
        <x:v>ORIGINAL RESOLUTION</x:v>
      </x:c>
      <x:c r="B6" s="12" t="str">
        <x:v>Daily, gridded</x:v>
      </x:c>
    </x:row>
    <x:row r="7" ht="25" customHeight="1">
      <x:c r="A7" s="9" t="str">
        <x:v>CORRELATE WITH</x:v>
      </x:c>
      <x:c r="B7" s="12" t="str">
        <x:v>CPCB NO2</x:v>
      </x:c>
    </x:row>
    <x:row r="8" ht="31" customHeight="1">
      <x:c r="A8" s="9" t="str">
        <x:v>VERIFIED SOURCE</x:v>
      </x:c>
      <x:c r="B8" s="12" t="str">
        <x:v>https://developers.google.com/earth-engine/datasets/tags/tropomi</x:v>
      </x:c>
    </x:row>
    <x:row r="9" ht="31" customHeight="1">
      <x:c r="A9" s="9" t="str">
        <x:v>ALTERNATE SOURCE</x:v>
      </x:c>
      <x:c r="B9" s="12" t="str">
        <x:v>https://registry.opendata.aws/sentinel5p/</x:v>
      </x:c>
    </x:row>
    <x:row r="10" ht="31" customHeight="1">
      <x:c r="A10" s="9" t="str">
        <x:v>ACCESS / CAVEAT</x:v>
      </x:c>
      <x:c r="B10" s="12" t="str">
        <x:v>Satellite rasters require spatial extraction (Earth Engine/NetCDF), not directly Excel.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latitude</x:v>
      </x:c>
      <x:c r="C13" s="22" t="str">
        <x:v>longitude</x:v>
      </x:c>
      <x:c r="D13" s="22" t="str">
        <x:v>no2</x:v>
      </x:c>
      <x:c r="E13" s="22" t="str">
        <x:v>co</x:v>
      </x:c>
      <x:c r="F13" s="22" t="str">
        <x:v>aerosol_index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09  |  Noise monitoring network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Air and emissions</x:v>
      </x:c>
    </x:row>
    <x:row r="5" ht="25" customHeight="1">
      <x:c r="A5" s="9" t="str">
        <x:v>PUBLISHER</x:v>
      </x:c>
      <x:c r="B5" s="12" t="str">
        <x:v>CPCB</x:v>
      </x:c>
    </x:row>
    <x:row r="6" ht="25" customHeight="1">
      <x:c r="A6" s="9" t="str">
        <x:v>ORIGINAL RESOLUTION</x:v>
      </x:c>
      <x:c r="B6" s="12" t="str">
        <x:v>Hourly</x:v>
      </x:c>
    </x:row>
    <x:row r="7" ht="25" customHeight="1">
      <x:c r="A7" s="9" t="str">
        <x:v>CORRELATE WITH</x:v>
      </x:c>
      <x:c r="B7" s="12" t="str">
        <x:v>Traffic, vehicles</x:v>
      </x:c>
    </x:row>
    <x:row r="8" ht="31" customHeight="1">
      <x:c r="A8" s="9" t="str">
        <x:v>VERIFIED SOURCE</x:v>
      </x:c>
      <x:c r="B8" s="12" t="str">
        <x:v>https://cpcb.nic.in/</x:v>
      </x:c>
    </x:row>
    <x:row r="9" ht="31" customHeight="1">
      <x:c r="A9" s="9" t="str">
        <x:v>ALTERNATE SOURCE</x:v>
      </x:c>
      <x:c r="B9" s="12" t="str">
        <x:v>https://www.data.gov.in/</x:v>
      </x:c>
    </x:row>
    <x:row r="10" ht="31" customHeight="1">
      <x:c r="A10" s="9" t="str">
        <x:v>ACCESS / CAVEAT</x:v>
      </x:c>
      <x:c r="B10" s="12" t="str">
        <x:v>Station time series / open download not verified.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</x:v>
      </x:c>
      <x:c r="B13" s="22" t="str">
        <x:v>station</x:v>
      </x:c>
      <x:c r="C13" s="22" t="str">
        <x:v>noise_db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10  |  IMD rainfall 0.25 deg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Weather and climate</x:v>
      </x:c>
    </x:row>
    <x:row r="5" ht="25" customHeight="1">
      <x:c r="A5" s="9" t="str">
        <x:v>PUBLISHER</x:v>
      </x:c>
      <x:c r="B5" s="12" t="str">
        <x:v>IMD Pune</x:v>
      </x:c>
    </x:row>
    <x:row r="6" ht="25" customHeight="1">
      <x:c r="A6" s="9" t="str">
        <x:v>ORIGINAL RESOLUTION</x:v>
      </x:c>
      <x:c r="B6" s="12" t="str">
        <x:v>Daily, grid</x:v>
      </x:c>
    </x:row>
    <x:row r="7" ht="25" customHeight="1">
      <x:c r="A7" s="9" t="str">
        <x:v>CORRELATE WITH</x:v>
      </x:c>
      <x:c r="B7" s="12" t="str">
        <x:v>AQI, reservoirs, crops</x:v>
      </x:c>
    </x:row>
    <x:row r="8" ht="31" customHeight="1">
      <x:c r="A8" s="9" t="str">
        <x:v>VERIFIED SOURCE</x:v>
      </x:c>
      <x:c r="B8" s="12" t="str">
        <x:v>https://www.imdpune.gov.in/cmpg/Griddata/Rainfall_25_Bin.html</x:v>
      </x:c>
    </x:row>
    <x:row r="9" ht="31" customHeight="1">
      <x:c r="A9" s="9" t="str">
        <x:v>ALTERNATE SOURCE</x:v>
      </x:c>
      <x:c r="B9" s="12" t="str">
        <x:v>—</x:v>
      </x:c>
    </x:row>
    <x:row r="10" ht="31" customHeight="1">
      <x:c r="A10" s="9" t="str">
        <x:v>ACCESS / CAVEAT</x:v>
      </x:c>
      <x:c r="B10" s="12" t="str">
        <x:v>Binary gridded annual files require geospatial parsing; no raw extract downloaded.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lat</x:v>
      </x:c>
      <x:c r="C13" s="22" t="str">
        <x:v>lon</x:v>
      </x:c>
      <x:c r="D13" s="22" t="str">
        <x:v>rainfall_mm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11  |  IMD gridded max min temp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Weather and climate</x:v>
      </x:c>
    </x:row>
    <x:row r="5" ht="25" customHeight="1">
      <x:c r="A5" s="9" t="str">
        <x:v>PUBLISHER</x:v>
      </x:c>
      <x:c r="B5" s="12" t="str">
        <x:v>IMD Pune</x:v>
      </x:c>
    </x:row>
    <x:row r="6" ht="25" customHeight="1">
      <x:c r="A6" s="9" t="str">
        <x:v>ORIGINAL RESOLUTION</x:v>
      </x:c>
      <x:c r="B6" s="12" t="str">
        <x:v>Daily, grid</x:v>
      </x:c>
    </x:row>
    <x:row r="7" ht="25" customHeight="1">
      <x:c r="A7" s="9" t="str">
        <x:v>CORRELATE WITH</x:v>
      </x:c>
      <x:c r="B7" s="12" t="str">
        <x:v>Electricity load</x:v>
      </x:c>
    </x:row>
    <x:row r="8" ht="31" customHeight="1">
      <x:c r="A8" s="9" t="str">
        <x:v>VERIFIED SOURCE</x:v>
      </x:c>
      <x:c r="B8" s="12" t="str">
        <x:v>https://www.imdpune.gov.in/cmpg/Griddata/Max_1_Bin.html</x:v>
      </x:c>
    </x:row>
    <x:row r="9" ht="31" customHeight="1">
      <x:c r="A9" s="9" t="str">
        <x:v>ALTERNATE SOURCE</x:v>
      </x:c>
      <x:c r="B9" s="12" t="str">
        <x:v>https://www.imdpune.gov.in/cmpg/Griddata/Min_1_Bin.html</x:v>
      </x:c>
    </x:row>
    <x:row r="10" ht="31" customHeight="1">
      <x:c r="A10" s="9" t="str">
        <x:v>ACCESS / CAVEAT</x:v>
      </x:c>
      <x:c r="B10" s="12" t="str">
        <x:v>IMD public standard temperatures are 1-degree, not necessarily 0.25-degree.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lat</x:v>
      </x:c>
      <x:c r="C13" s="22" t="str">
        <x:v>lon</x:v>
      </x:c>
      <x:c r="D13" s="22" t="str">
        <x:v>tmax_c</x:v>
      </x:c>
      <x:c r="E13" s="22" t="str">
        <x:v>tmin_c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12  |  Monthly subdiv rainfall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Weather and climate</x:v>
      </x:c>
    </x:row>
    <x:row r="5" ht="25" customHeight="1">
      <x:c r="A5" s="9" t="str">
        <x:v>PUBLISHER</x:v>
      </x:c>
      <x:c r="B5" s="12" t="str">
        <x:v>IMD</x:v>
      </x:c>
    </x:row>
    <x:row r="6" ht="25" customHeight="1">
      <x:c r="A6" s="9" t="str">
        <x:v>ORIGINAL RESOLUTION</x:v>
      </x:c>
      <x:c r="B6" s="12" t="str">
        <x:v>Monthly</x:v>
      </x:c>
    </x:row>
    <x:row r="7" ht="25" customHeight="1">
      <x:c r="A7" s="9" t="str">
        <x:v>CORRELATE WITH</x:v>
      </x:c>
      <x:c r="B7" s="12" t="str">
        <x:v>Crops, groundwater</x:v>
      </x:c>
    </x:row>
    <x:row r="8" ht="31" customHeight="1">
      <x:c r="A8" s="9" t="str">
        <x:v>VERIFIED SOURCE</x:v>
      </x:c>
      <x:c r="B8" s="12" t="str">
        <x:v>https://data.gov.in/dataset-group-name/rainfall</x:v>
      </x:c>
    </x:row>
    <x:row r="9" ht="31" customHeight="1">
      <x:c r="A9" s="9" t="str">
        <x:v>ALTERNATE SOURCE</x:v>
      </x:c>
      <x:c r="B9" s="12" t="str">
        <x:v>https://www.data.gov.in/resource/sub-divisional-monthly-rainfall-1901-2017</x:v>
      </x:c>
    </x:row>
    <x:row r="10" ht="31" customHeight="1">
      <x:c r="A10" s="9" t="str">
        <x:v>ACCESS / CAVEAT</x:v>
      </x:c>
      <x:c r="B10" s="12" t="str">
        <x:v>Choose district/subdivision and date span; some archive resources end 2017.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subdivision</x:v>
      </x:c>
      <x:c r="D13" s="22" t="str">
        <x:v>rain_mm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13  |  IMD AWS ARG stations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Weather and climate</x:v>
      </x:c>
    </x:row>
    <x:row r="5" ht="25" customHeight="1">
      <x:c r="A5" s="9" t="str">
        <x:v>PUBLISHER</x:v>
      </x:c>
      <x:c r="B5" s="12" t="str">
        <x:v>IMD</x:v>
      </x:c>
    </x:row>
    <x:row r="6" ht="25" customHeight="1">
      <x:c r="A6" s="9" t="str">
        <x:v>ORIGINAL RESOLUTION</x:v>
      </x:c>
      <x:c r="B6" s="12" t="str">
        <x:v>Hourly</x:v>
      </x:c>
    </x:row>
    <x:row r="7" ht="25" customHeight="1">
      <x:c r="A7" s="9" t="str">
        <x:v>CORRELATE WITH</x:v>
      </x:c>
      <x:c r="B7" s="12" t="str">
        <x:v>Local AQI, load</x:v>
      </x:c>
    </x:row>
    <x:row r="8" ht="31" customHeight="1">
      <x:c r="A8" s="9" t="str">
        <x:v>VERIFIED SOURCE</x:v>
      </x:c>
      <x:c r="B8" s="12" t="str">
        <x:v>https://api.imd.gov.in/public/api_reference.html</x:v>
      </x:c>
    </x:row>
    <x:row r="9" ht="31" customHeight="1">
      <x:c r="A9" s="9" t="str">
        <x:v>ALTERNATE SOURCE</x:v>
      </x:c>
      <x:c r="B9" s="12" t="str">
        <x:v>https://api.imd.gov.in/api/v1/aws_data</x:v>
      </x:c>
    </x:row>
    <x:row r="10" ht="31" customHeight="1">
      <x:c r="A10" s="9" t="str">
        <x:v>ACCESS / CAVEAT</x:v>
      </x:c>
      <x:c r="B10" s="12" t="str">
        <x:v>Official endpoint returned 401 Unauthorized during verification.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timestamp</x:v>
      </x:c>
      <x:c r="B13" s="22" t="str">
        <x:v>station</x:v>
      </x:c>
      <x:c r="C13" s="22" t="str">
        <x:v>temperature</x:v>
      </x:c>
      <x:c r="D13" s="22" t="str">
        <x:v>rain</x:v>
      </x:c>
      <x:c r="E13" s="22" t="str">
        <x:v>humidity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14  |  Heat cold cyclone events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Weather and climate</x:v>
      </x:c>
    </x:row>
    <x:row r="5" ht="25" customHeight="1">
      <x:c r="A5" s="9" t="str">
        <x:v>PUBLISHER</x:v>
      </x:c>
      <x:c r="B5" s="12" t="str">
        <x:v>IMD</x:v>
      </x:c>
    </x:row>
    <x:row r="6" ht="25" customHeight="1">
      <x:c r="A6" s="9" t="str">
        <x:v>ORIGINAL RESOLUTION</x:v>
      </x:c>
      <x:c r="B6" s="12" t="str">
        <x:v>Event</x:v>
      </x:c>
    </x:row>
    <x:row r="7" ht="25" customHeight="1">
      <x:c r="A7" s="9" t="str">
        <x:v>CORRELATE WITH</x:v>
      </x:c>
      <x:c r="B7" s="12" t="str">
        <x:v>Demand spikes</x:v>
      </x:c>
    </x:row>
    <x:row r="8" ht="31" customHeight="1">
      <x:c r="A8" s="9" t="str">
        <x:v>VERIFIED SOURCE</x:v>
      </x:c>
      <x:c r="B8" s="12" t="str">
        <x:v>https://rsmcnewdelhi.imd.gov.in/report.php?internal_menu=MzM%3D</x:v>
      </x:c>
    </x:row>
    <x:row r="9" ht="31" customHeight="1">
      <x:c r="A9" s="9" t="str">
        <x:v>ALTERNATE SOURCE</x:v>
      </x:c>
      <x:c r="B9" s="12" t="str">
        <x:v>https://mausam.imd.gov.in/imd_latest/contents/cyclone.php</x:v>
      </x:c>
    </x:row>
    <x:row r="10" ht="31" customHeight="1">
      <x:c r="A10" s="9" t="str">
        <x:v>ACCESS / CAVEAT</x:v>
      </x:c>
      <x:c r="B10" s="12" t="str">
        <x:v>Cyclone best-track PDFs are downloadable; heat/cold-wave data separate.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event_date</x:v>
      </x:c>
      <x:c r="B13" s="22" t="str">
        <x:v>event_type</x:v>
      </x:c>
      <x:c r="C13" s="22" t="str">
        <x:v>location</x:v>
      </x:c>
      <x:c r="D13" s="22" t="str">
        <x:v>strength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15  |  NASA POWER climate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Weather and climate</x:v>
      </x:c>
    </x:row>
    <x:row r="5" ht="25" customHeight="1">
      <x:c r="A5" s="9" t="str">
        <x:v>PUBLISHER</x:v>
      </x:c>
      <x:c r="B5" s="12" t="str">
        <x:v>NASA</x:v>
      </x:c>
    </x:row>
    <x:row r="6" ht="25" customHeight="1">
      <x:c r="A6" s="9" t="str">
        <x:v>ORIGINAL RESOLUTION</x:v>
      </x:c>
      <x:c r="B6" s="12" t="str">
        <x:v>Daily, grid/point</x:v>
      </x:c>
    </x:row>
    <x:row r="7" ht="25" customHeight="1">
      <x:c r="A7" s="9" t="str">
        <x:v>CORRELATE WITH</x:v>
      </x:c>
      <x:c r="B7" s="12" t="str">
        <x:v>Solar, load</x:v>
      </x:c>
    </x:row>
    <x:row r="8" ht="31" customHeight="1">
      <x:c r="A8" s="9" t="str">
        <x:v>VERIFIED SOURCE</x:v>
      </x:c>
      <x:c r="B8" s="12" t="str">
        <x:v>https://power.larc.nasa.gov/docs/services/api/temporal/daily/</x:v>
      </x:c>
    </x:row>
    <x:row r="9" ht="31" customHeight="1">
      <x:c r="A9" s="9" t="str">
        <x:v>ALTERNATE SOURCE</x:v>
      </x:c>
      <x:c r="B9" s="12" t="str">
        <x:v>https://power.larc.nasa.gov/</x:v>
      </x:c>
    </x:row>
    <x:row r="10" ht="31" customHeight="1">
      <x:c r="A10" s="9" t="str">
        <x:v>ACCESS / CAVEAT</x:v>
      </x:c>
      <x:c r="B10" s="12" t="str">
        <x:v>API supported; location and date range must be selected. No observations transferred.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lat</x:v>
      </x:c>
      <x:c r="C13" s="22" t="str">
        <x:v>lon</x:v>
      </x:c>
      <x:c r="D13" s="22" t="str">
        <x:v>solar</x:v>
      </x:c>
      <x:c r="E13" s="22" t="str">
        <x:v>wind</x:v>
      </x:c>
      <x:c r="F13" s="22" t="str">
        <x:v>humidity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16  |  INSAT weather satellite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Weather and climate</x:v>
      </x:c>
    </x:row>
    <x:row r="5" ht="25" customHeight="1">
      <x:c r="A5" s="9" t="str">
        <x:v>PUBLISHER</x:v>
      </x:c>
      <x:c r="B5" s="12" t="str">
        <x:v>ISRO MOSDAC</x:v>
      </x:c>
    </x:row>
    <x:row r="6" ht="25" customHeight="1">
      <x:c r="A6" s="9" t="str">
        <x:v>ORIGINAL RESOLUTION</x:v>
      </x:c>
      <x:c r="B6" s="12" t="str">
        <x:v>Sub-daily</x:v>
      </x:c>
    </x:row>
    <x:row r="7" ht="25" customHeight="1">
      <x:c r="A7" s="9" t="str">
        <x:v>CORRELATE WITH</x:v>
      </x:c>
      <x:c r="B7" s="12" t="str">
        <x:v>PM, rainfall</x:v>
      </x:c>
    </x:row>
    <x:row r="8" ht="31" customHeight="1">
      <x:c r="A8" s="9" t="str">
        <x:v>VERIFIED SOURCE</x:v>
      </x:c>
      <x:c r="B8" s="12" t="str">
        <x:v>https://www.mosdac.gov.in/insat-3dr-data-products</x:v>
      </x:c>
    </x:row>
    <x:row r="9" ht="31" customHeight="1">
      <x:c r="A9" s="9" t="str">
        <x:v>ALTERNATE SOURCE</x:v>
      </x:c>
      <x:c r="B9" s="12" t="str">
        <x:v>https://www.mosdac.gov.in/</x:v>
      </x:c>
    </x:row>
    <x:row r="10" ht="31" customHeight="1">
      <x:c r="A10" s="9" t="str">
        <x:v>ACCESS / CAVEAT</x:v>
      </x:c>
      <x:c r="B10" s="12" t="str">
        <x:v>Satellite HDF image/grid data require export and account/access procedures.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timestamp</x:v>
      </x:c>
      <x:c r="B13" s="22" t="str">
        <x:v>lat</x:v>
      </x:c>
      <x:c r="C13" s="22" t="str">
        <x:v>lon</x:v>
      </x:c>
      <x:c r="D13" s="22" t="str">
        <x:v>rainfall</x:v>
      </x:c>
      <x:c r="E13" s="22" t="str">
        <x:v>aerosol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17  |  ERA5 Open-Meteo archive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Weather and climate</x:v>
      </x:c>
    </x:row>
    <x:row r="5" ht="25" customHeight="1">
      <x:c r="A5" s="9" t="str">
        <x:v>PUBLISHER</x:v>
      </x:c>
      <x:c r="B5" s="12" t="str">
        <x:v>ECMWF / Open-Meteo</x:v>
      </x:c>
    </x:row>
    <x:row r="6" ht="25" customHeight="1">
      <x:c r="A6" s="9" t="str">
        <x:v>ORIGINAL RESOLUTION</x:v>
      </x:c>
      <x:c r="B6" s="12" t="str">
        <x:v>Hourly since 1940</x:v>
      </x:c>
    </x:row>
    <x:row r="7" ht="25" customHeight="1">
      <x:c r="A7" s="9" t="str">
        <x:v>CORRELATE WITH</x:v>
      </x:c>
      <x:c r="B7" s="12" t="str">
        <x:v>Long history</x:v>
      </x:c>
    </x:row>
    <x:row r="8" ht="31" customHeight="1">
      <x:c r="A8" s="9" t="str">
        <x:v>VERIFIED SOURCE</x:v>
      </x:c>
      <x:c r="B8" s="12" t="str">
        <x:v>https://open-meteo.com/en/docs/historical-weather-api</x:v>
      </x:c>
    </x:row>
    <x:row r="9" ht="31" customHeight="1">
      <x:c r="A9" s="9" t="str">
        <x:v>ALTERNATE SOURCE</x:v>
      </x:c>
      <x:c r="B9" s="12" t="str">
        <x:v>https://archive-api.open-meteo.com/v1/archive</x:v>
      </x:c>
    </x:row>
    <x:row r="10" ht="31" customHeight="1">
      <x:c r="A10" s="9" t="str">
        <x:v>ACCESS / CAVEAT</x:v>
      </x:c>
      <x:c r="B10" s="12" t="str">
        <x:v>Choose coordinates/time/variables; API request was not accessible to web browser.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</x:v>
      </x:c>
      <x:c r="B13" s="22" t="str">
        <x:v>lat</x:v>
      </x:c>
      <x:c r="C13" s="22" t="str">
        <x:v>lon</x:v>
      </x:c>
      <x:c r="D13" s="22" t="str">
        <x:v>temperature</x:v>
      </x:c>
      <x:c r="E13" s="22" t="str">
        <x:v>humidity</x:v>
      </x:c>
      <x:c r="F13" s="22" t="str">
        <x:v>wind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18  |  Daily power supply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Grid-India</x:v>
      </x:c>
    </x:row>
    <x:row r="6" ht="25" customHeight="1">
      <x:c r="A6" s="9" t="str">
        <x:v>ORIGINAL RESOLUTION</x:v>
      </x:c>
      <x:c r="B6" s="12" t="str">
        <x:v>Daily, state</x:v>
      </x:c>
    </x:row>
    <x:row r="7" ht="25" customHeight="1">
      <x:c r="A7" s="9" t="str">
        <x:v>CORRELATE WITH</x:v>
      </x:c>
      <x:c r="B7" s="12" t="str">
        <x:v>Temperature, AQI</x:v>
      </x:c>
    </x:row>
    <x:row r="8" ht="31" customHeight="1">
      <x:c r="A8" s="9" t="str">
        <x:v>VERIFIED SOURCE</x:v>
      </x:c>
      <x:c r="B8" s="12" t="str">
        <x:v>https://report.grid-india.in/</x:v>
      </x:c>
    </x:row>
    <x:row r="9" ht="31" customHeight="1">
      <x:c r="A9" s="9" t="str">
        <x:v>ALTERNATE SOURCE</x:v>
      </x:c>
      <x:c r="B9" s="12" t="str">
        <x:v>https://cea.nic.in/pdm_genreview/daily-power-supply-position-report/?lang=en</x:v>
      </x:c>
    </x:row>
    <x:row r="10" ht="31" customHeight="1">
      <x:c r="A10" s="9" t="str">
        <x:v>ACCESS / CAVEAT</x:v>
      </x:c>
      <x:c r="B10" s="12" t="str">
        <x:v>Daily state-level reports hosted at Grid India; commercial repackaging also exists.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state</x:v>
      </x:c>
      <x:c r="C13" s="22" t="str">
        <x:v>demand_mw</x:v>
      </x:c>
      <x:c r="D13" s="22" t="str">
        <x:v>energy_met_mu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19  |  Monthly power supply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Ministry of Power / CEA</x:v>
      </x:c>
    </x:row>
    <x:row r="6" ht="25" customHeight="1">
      <x:c r="A6" s="9" t="str">
        <x:v>ORIGINAL RESOLUTION</x:v>
      </x:c>
      <x:c r="B6" s="12" t="str">
        <x:v>Monthly, state</x:v>
      </x:c>
    </x:row>
    <x:row r="7" ht="25" customHeight="1">
      <x:c r="A7" s="9" t="str">
        <x:v>CORRELATE WITH</x:v>
      </x:c>
      <x:c r="B7" s="12" t="str">
        <x:v>GDP, weather</x:v>
      </x:c>
    </x:row>
    <x:row r="8" ht="31" customHeight="1">
      <x:c r="A8" s="9" t="str">
        <x:v>VERIFIED SOURCE</x:v>
      </x:c>
      <x:c r="B8" s="12" t="str">
        <x:v>https://cea.nic.in/reports/dashboardView?headingId=107&amp;lang=en&amp;subHeadingId=1003&amp;subSubHeadingId=10010&amp;title=Power+Supply+Position+-+Energy</x:v>
      </x:c>
    </x:row>
    <x:row r="9" ht="31" customHeight="1">
      <x:c r="A9" s="9" t="str">
        <x:v>ALTERNATE SOURCE</x:v>
      </x:c>
      <x:c r="B9" s="12" t="str">
        <x:v>https://aikosh.indiaai.gov.in/home</x:v>
      </x:c>
    </x:row>
    <x:row r="10" ht="31" customHeight="1">
      <x:c r="A10" s="9" t="str">
        <x:v>ACCESS / CAVEAT</x:v>
      </x:c>
      <x:c r="B10" s="12" t="str">
        <x:v>Verified CEA monthly bulletin; AIKosh specific file not independently located.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energy_required_mu</x:v>
      </x:c>
      <x:c r="D13" s="22" t="str">
        <x:v>energy_met_mu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20  |  Hourly demand solar wind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IIT Guwahati / Grid-India</x:v>
      </x:c>
    </x:row>
    <x:row r="6" ht="25" customHeight="1">
      <x:c r="A6" s="9" t="str">
        <x:v>ORIGINAL RESOLUTION</x:v>
      </x:c>
      <x:c r="B6" s="12" t="str">
        <x:v>Hourly</x:v>
      </x:c>
    </x:row>
    <x:row r="7" ht="25" customHeight="1">
      <x:c r="A7" s="9" t="str">
        <x:v>CORRELATE WITH</x:v>
      </x:c>
      <x:c r="B7" s="12" t="str">
        <x:v>Weather, AQI</x:v>
      </x:c>
    </x:row>
    <x:row r="8" ht="31" customHeight="1">
      <x:c r="A8" s="9" t="str">
        <x:v>VERIFIED SOURCE</x:v>
      </x:c>
      <x:c r="B8" s="12" t="str">
        <x:v>https://data.mendeley.com/datasets/y58jknpgs8</x:v>
      </x:c>
    </x:row>
    <x:row r="9" ht="31" customHeight="1">
      <x:c r="A9" s="9" t="str">
        <x:v>ALTERNATE SOURCE</x:v>
      </x:c>
      <x:c r="B9" s="12" t="str">
        <x:v>https://data.mendeley.com/datasets/y58jknpgs8/2</x:v>
      </x:c>
    </x:row>
    <x:row r="10" ht="31" customHeight="1">
      <x:c r="A10" s="9" t="str">
        <x:v>ACCESS / CAVEAT</x:v>
      </x:c>
      <x:c r="B10" s="12" t="str">
        <x:v>Mendeley dataset in many monthly XLSX files, 2021–2025; select subsets.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</x:v>
      </x:c>
      <x:c r="B13" s="22" t="str">
        <x:v>region</x:v>
      </x:c>
      <x:c r="C13" s="22" t="str">
        <x:v>demand_mw</x:v>
      </x:c>
      <x:c r="D13" s="22" t="str">
        <x:v>solar_mw</x:v>
      </x:c>
      <x:c r="E13" s="22" t="str">
        <x:v>wind_mw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21  |  Capacity and generation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CEA</x:v>
      </x:c>
    </x:row>
    <x:row r="6" ht="25" customHeight="1">
      <x:c r="A6" s="9" t="str">
        <x:v>ORIGINAL RESOLUTION</x:v>
      </x:c>
      <x:c r="B6" s="12" t="str">
        <x:v>Monthly</x:v>
      </x:c>
    </x:row>
    <x:row r="7" ht="25" customHeight="1">
      <x:c r="A7" s="9" t="str">
        <x:v>CORRELATE WITH</x:v>
      </x:c>
      <x:c r="B7" s="12" t="str">
        <x:v>State data</x:v>
      </x:c>
    </x:row>
    <x:row r="8" ht="31" customHeight="1">
      <x:c r="A8" s="9" t="str">
        <x:v>VERIFIED SOURCE</x:v>
      </x:c>
      <x:c r="B8" s="12" t="str">
        <x:v>https://cea.nic.in/reports/external/daily-generation?lang=en</x:v>
      </x:c>
    </x:row>
    <x:row r="9" ht="31" customHeight="1">
      <x:c r="A9" s="9" t="str">
        <x:v>ALTERNATE SOURCE</x:v>
      </x:c>
      <x:c r="B9" s="12" t="str">
        <x:v>https://npp.gov.in/publishedReports</x:v>
      </x:c>
    </x:row>
    <x:row r="10" ht="31" customHeight="1">
      <x:c r="A10" s="9" t="str">
        <x:v>ACCESS / CAVEAT</x:v>
      </x:c>
      <x:c r="B10" s="12" t="str">
        <x:v>CEA/NPP generation and capacity reports; monthly selector.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capacity_mw</x:v>
      </x:c>
      <x:c r="D13" s="22" t="str">
        <x:v>generation_mu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22  |  Daily coal stock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CEA</x:v>
      </x:c>
    </x:row>
    <x:row r="6" ht="25" customHeight="1">
      <x:c r="A6" s="9" t="str">
        <x:v>ORIGINAL RESOLUTION</x:v>
      </x:c>
      <x:c r="B6" s="12" t="str">
        <x:v>Daily</x:v>
      </x:c>
    </x:row>
    <x:row r="7" ht="25" customHeight="1">
      <x:c r="A7" s="9" t="str">
        <x:v>CORRELATE WITH</x:v>
      </x:c>
      <x:c r="B7" s="12" t="str">
        <x:v>Shortages</x:v>
      </x:c>
    </x:row>
    <x:row r="8" ht="31" customHeight="1">
      <x:c r="A8" s="9" t="str">
        <x:v>VERIFIED SOURCE</x:v>
      </x:c>
      <x:c r="B8" s="12" t="str">
        <x:v>https://cea.nic.in/reports/external/daily-generation?lang=en</x:v>
      </x:c>
    </x:row>
    <x:row r="9" ht="31" customHeight="1">
      <x:c r="A9" s="9" t="str">
        <x:v>ALTERNATE SOURCE</x:v>
      </x:c>
      <x:c r="B9" s="12" t="str">
        <x:v>https://npp.gov.in/publishedReports</x:v>
      </x:c>
    </x:row>
    <x:row r="10" ht="31" customHeight="1">
      <x:c r="A10" s="9" t="str">
        <x:v>ACCESS / CAVEAT</x:v>
      </x:c>
      <x:c r="B10" s="12" t="str">
        <x:v>Use Fuel Reports &gt; Daily Coal Report; Excel file available on portal.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plant</x:v>
      </x:c>
      <x:c r="C13" s="22" t="str">
        <x:v>coal_stock_mt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23  |  Realtime demand generation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Ministry of Power</x:v>
      </x:c>
    </x:row>
    <x:row r="6" ht="25" customHeight="1">
      <x:c r="A6" s="9" t="str">
        <x:v>ORIGINAL RESOLUTION</x:v>
      </x:c>
      <x:c r="B6" s="12" t="str">
        <x:v>15 min</x:v>
      </x:c>
    </x:row>
    <x:row r="7" ht="25" customHeight="1">
      <x:c r="A7" s="9" t="str">
        <x:v>CORRELATE WITH</x:v>
      </x:c>
      <x:c r="B7" s="12" t="str">
        <x:v>Live layer</x:v>
      </x:c>
    </x:row>
    <x:row r="8" ht="31" customHeight="1">
      <x:c r="A8" s="9" t="str">
        <x:v>VERIFIED SOURCE</x:v>
      </x:c>
      <x:c r="B8" s="12" t="str">
        <x:v>https://vidyutpravah.in/</x:v>
      </x:c>
    </x:row>
    <x:row r="9" ht="31" customHeight="1">
      <x:c r="A9" s="9" t="str">
        <x:v>ALTERNATE SOURCE</x:v>
      </x:c>
      <x:c r="B9" s="12" t="str">
        <x:v>https://npp.gov.in/</x:v>
      </x:c>
    </x:row>
    <x:row r="10" ht="31" customHeight="1">
      <x:c r="A10" s="9" t="str">
        <x:v>ACCESS / CAVEAT</x:v>
      </x:c>
      <x:c r="B10" s="12" t="str">
        <x:v>Real-time web dashboard, historical export not confirmed.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timestamp</x:v>
      </x:c>
      <x:c r="B13" s="22" t="str">
        <x:v>region</x:v>
      </x:c>
      <x:c r="C13" s="22" t="str">
        <x:v>demand_mw</x:v>
      </x:c>
      <x:c r="D13" s="22" t="str">
        <x:v>generation_mw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24  |  Renewable capacity by state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MNRE</x:v>
      </x:c>
    </x:row>
    <x:row r="6" ht="25" customHeight="1">
      <x:c r="A6" s="9" t="str">
        <x:v>ORIGINAL RESOLUTION</x:v>
      </x:c>
      <x:c r="B6" s="12" t="str">
        <x:v>Monthly</x:v>
      </x:c>
    </x:row>
    <x:row r="7" ht="25" customHeight="1">
      <x:c r="A7" s="9" t="str">
        <x:v>CORRELATE WITH</x:v>
      </x:c>
      <x:c r="B7" s="12" t="str">
        <x:v>Solar vs weather</x:v>
      </x:c>
    </x:row>
    <x:row r="8" ht="31" customHeight="1">
      <x:c r="A8" s="9" t="str">
        <x:v>VERIFIED SOURCE</x:v>
      </x:c>
      <x:c r="B8" s="12" t="str">
        <x:v>https://mnre.gov.in/</x:v>
      </x:c>
    </x:row>
    <x:row r="9" ht="31" customHeight="1">
      <x:c r="A9" s="9" t="str">
        <x:v>ALTERNATE SOURCE</x:v>
      </x:c>
      <x:c r="B9" s="12" t="str">
        <x:v>https://cea.nic.in/</x:v>
      </x:c>
    </x:row>
    <x:row r="10" ht="31" customHeight="1">
      <x:c r="A10" s="9" t="str">
        <x:v>ACCESS / CAVEAT</x:v>
      </x:c>
      <x:c r="B10" s="12" t="str">
        <x:v>State-wise renewable capacity reports; select publication period.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solar_mw</x:v>
      </x:c>
      <x:c r="D13" s="22" t="str">
        <x:v>wind_mw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25  |  Petroleum products sales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PPAC</x:v>
      </x:c>
    </x:row>
    <x:row r="6" ht="25" customHeight="1">
      <x:c r="A6" s="9" t="str">
        <x:v>ORIGINAL RESOLUTION</x:v>
      </x:c>
      <x:c r="B6" s="12" t="str">
        <x:v>Monthly, state</x:v>
      </x:c>
    </x:row>
    <x:row r="7" ht="25" customHeight="1">
      <x:c r="A7" s="9" t="str">
        <x:v>CORRELATE WITH</x:v>
      </x:c>
      <x:c r="B7" s="12" t="str">
        <x:v>Vehicles, AQI</x:v>
      </x:c>
    </x:row>
    <x:row r="8" ht="31" customHeight="1">
      <x:c r="A8" s="9" t="str">
        <x:v>VERIFIED SOURCE</x:v>
      </x:c>
      <x:c r="B8" s="12" t="str">
        <x:v>https://ppac.gov.in/consumption/state-wise</x:v>
      </x:c>
    </x:row>
    <x:row r="9" ht="31" customHeight="1">
      <x:c r="A9" s="9" t="str">
        <x:v>ALTERNATE SOURCE</x:v>
      </x:c>
      <x:c r="B9" s="12" t="str">
        <x:v>https://ppac.gov.in/consumption/products-wise</x:v>
      </x:c>
    </x:row>
    <x:row r="10" ht="31" customHeight="1">
      <x:c r="A10" s="9" t="str">
        <x:v>ACCESS / CAVEAT</x:v>
      </x:c>
      <x:c r="B10" s="12" t="str">
        <x:v>State-wise sales may not include each product-month cross-tab; join separately.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product</x:v>
      </x:c>
      <x:c r="D13" s="22" t="str">
        <x:v>quantity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26  |  Eight core industries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DPIIT / OEA</x:v>
      </x:c>
    </x:row>
    <x:row r="6" ht="25" customHeight="1">
      <x:c r="A6" s="9" t="str">
        <x:v>ORIGINAL RESOLUTION</x:v>
      </x:c>
      <x:c r="B6" s="12" t="str">
        <x:v>Monthly</x:v>
      </x:c>
    </x:row>
    <x:row r="7" ht="25" customHeight="1">
      <x:c r="A7" s="9" t="str">
        <x:v>CORRELATE WITH</x:v>
      </x:c>
      <x:c r="B7" s="12" t="str">
        <x:v>Electricity demand</x:v>
      </x:c>
    </x:row>
    <x:row r="8" ht="31" customHeight="1">
      <x:c r="A8" s="9" t="str">
        <x:v>VERIFIED SOURCE</x:v>
      </x:c>
      <x:c r="B8" s="12" t="str">
        <x:v>https://eaindustry.nic.in/</x:v>
      </x:c>
    </x:row>
    <x:row r="9" ht="31" customHeight="1">
      <x:c r="A9" s="9" t="str">
        <x:v>ALTERNATE SOURCE</x:v>
      </x:c>
      <x:c r="B9" s="12" t="str">
        <x:v>https://www.mospi.gov.in/</x:v>
      </x:c>
    </x:row>
    <x:row r="10" ht="31" customHeight="1">
      <x:c r="A10" s="9" t="str">
        <x:v>ACCESS / CAVEAT</x:v>
      </x:c>
      <x:c r="B10" s="12" t="str">
        <x:v>Find Index of Eight Core Industries ICI release series.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sector</x:v>
      </x:c>
      <x:c r="C13" s="22" t="str">
        <x:v>ici_index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27  |  Electricity by sector state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Energy</x:v>
      </x:c>
    </x:row>
    <x:row r="5" ht="25" customHeight="1">
      <x:c r="A5" s="9" t="str">
        <x:v>PUBLISHER</x:v>
      </x:c>
      <x:c r="B5" s="12" t="str">
        <x:v>CEA</x:v>
      </x:c>
    </x:row>
    <x:row r="6" ht="25" customHeight="1">
      <x:c r="A6" s="9" t="str">
        <x:v>ORIGINAL RESOLUTION</x:v>
      </x:c>
      <x:c r="B6" s="12" t="str">
        <x:v>Annual</x:v>
      </x:c>
    </x:row>
    <x:row r="7" ht="25" customHeight="1">
      <x:c r="A7" s="9" t="str">
        <x:v>CORRELATE WITH</x:v>
      </x:c>
      <x:c r="B7" s="12" t="str">
        <x:v>GDP, urbanization</x:v>
      </x:c>
    </x:row>
    <x:row r="8" ht="31" customHeight="1">
      <x:c r="A8" s="9" t="str">
        <x:v>VERIFIED SOURCE</x:v>
      </x:c>
      <x:c r="B8" s="12" t="str">
        <x:v>https://cea.nic.in/</x:v>
      </x:c>
    </x:row>
    <x:row r="9" ht="31" customHeight="1">
      <x:c r="A9" s="9" t="str">
        <x:v>ALTERNATE SOURCE</x:v>
      </x:c>
      <x:c r="B9" s="12" t="str">
        <x:v>https://npp.gov.in/publishedReports</x:v>
      </x:c>
    </x:row>
    <x:row r="10" ht="31" customHeight="1">
      <x:c r="A10" s="9" t="str">
        <x:v>ACCESS / CAVEAT</x:v>
      </x:c>
      <x:c r="B10" s="12" t="str">
        <x:v>Annual General Review electricity consumption by sector/state.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year</x:v>
      </x:c>
      <x:c r="B13" s="22" t="str">
        <x:v>state</x:v>
      </x:c>
      <x:c r="C13" s="22" t="str">
        <x:v>sector</x:v>
      </x:c>
      <x:c r="D13" s="22" t="str">
        <x:v>consumption_mu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28  |  India WRIS rainfall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Water</x:v>
      </x:c>
    </x:row>
    <x:row r="5" ht="25" customHeight="1">
      <x:c r="A5" s="9" t="str">
        <x:v>PUBLISHER</x:v>
      </x:c>
      <x:c r="B5" s="12" t="str">
        <x:v>India-WRIS</x:v>
      </x:c>
    </x:row>
    <x:row r="6" ht="25" customHeight="1">
      <x:c r="A6" s="9" t="str">
        <x:v>ORIGINAL RESOLUTION</x:v>
      </x:c>
      <x:c r="B6" s="12" t="str">
        <x:v>Daily</x:v>
      </x:c>
    </x:row>
    <x:row r="7" ht="25" customHeight="1">
      <x:c r="A7" s="9" t="str">
        <x:v>CORRELATE WITH</x:v>
      </x:c>
      <x:c r="B7" s="12" t="str">
        <x:v>Reservoirs, AQI</x:v>
      </x:c>
    </x:row>
    <x:row r="8" ht="31" customHeight="1">
      <x:c r="A8" s="9" t="str">
        <x:v>VERIFIED SOURCE</x:v>
      </x:c>
      <x:c r="B8" s="12" t="str">
        <x:v>https://www.indiawris.gov.in/</x:v>
      </x:c>
    </x:row>
    <x:row r="9" ht="31" customHeight="1">
      <x:c r="A9" s="9" t="str">
        <x:v>ALTERNATE SOURCE</x:v>
      </x:c>
      <x:c r="B9" s="12" t="str">
        <x:v>https://nwdp.nwic.gov.in/en/dataset</x:v>
      </x:c>
    </x:row>
    <x:row r="10" ht="31" customHeight="1">
      <x:c r="A10" s="9" t="str">
        <x:v>ACCESS / CAVEAT</x:v>
      </x:c>
      <x:c r="B10" s="12" t="str">
        <x:v>Interactive India-WRIS portal; choose stations/district/time period.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station</x:v>
      </x:c>
      <x:c r="C13" s="22" t="str">
        <x:v>rainfall_mm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29  |  India WRIS reservoirs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Water</x:v>
      </x:c>
    </x:row>
    <x:row r="5" ht="25" customHeight="1">
      <x:c r="A5" s="9" t="str">
        <x:v>PUBLISHER</x:v>
      </x:c>
      <x:c r="B5" s="12" t="str">
        <x:v>India-WRIS / CWC</x:v>
      </x:c>
    </x:row>
    <x:row r="6" ht="25" customHeight="1">
      <x:c r="A6" s="9" t="str">
        <x:v>ORIGINAL RESOLUTION</x:v>
      </x:c>
      <x:c r="B6" s="12" t="str">
        <x:v>Daily</x:v>
      </x:c>
    </x:row>
    <x:row r="7" ht="25" customHeight="1">
      <x:c r="A7" s="9" t="str">
        <x:v>CORRELATE WITH</x:v>
      </x:c>
      <x:c r="B7" s="12" t="str">
        <x:v>Rainfall, hydro</x:v>
      </x:c>
    </x:row>
    <x:row r="8" ht="31" customHeight="1">
      <x:c r="A8" s="9" t="str">
        <x:v>VERIFIED SOURCE</x:v>
      </x:c>
      <x:c r="B8" s="12" t="str">
        <x:v>https://nwdp.nwic.gov.in/en/dataset/reservoir-water-level-manual-daily-centre-water-commission_cwc</x:v>
      </x:c>
    </x:row>
    <x:row r="9" ht="31" customHeight="1">
      <x:c r="A9" s="9" t="str">
        <x:v>ALTERNATE SOURCE</x:v>
      </x:c>
      <x:c r="B9" s="12" t="str">
        <x:v>https://www.indiawris.gov.in/</x:v>
      </x:c>
    </x:row>
    <x:row r="10" ht="31" customHeight="1">
      <x:c r="A10" s="9" t="str">
        <x:v>ACCESS / CAVEAT</x:v>
      </x:c>
      <x:c r="B10" s="12" t="str">
        <x:v>NWDP verified CSV by state; daily records NOT downloaded here.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reservoir</x:v>
      </x:c>
      <x:c r="C13" s="22" t="str">
        <x:v>storage_mcm</x:v>
      </x:c>
      <x:c r="D13" s="22" t="str">
        <x:v>level_m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30  |  River level discharge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Water</x:v>
      </x:c>
    </x:row>
    <x:row r="5" ht="25" customHeight="1">
      <x:c r="A5" s="9" t="str">
        <x:v>PUBLISHER</x:v>
      </x:c>
      <x:c r="B5" s="12" t="str">
        <x:v>India-WRIS / CWC</x:v>
      </x:c>
    </x:row>
    <x:row r="6" ht="25" customHeight="1">
      <x:c r="A6" s="9" t="str">
        <x:v>ORIGINAL RESOLUTION</x:v>
      </x:c>
      <x:c r="B6" s="12" t="str">
        <x:v>Daily</x:v>
      </x:c>
    </x:row>
    <x:row r="7" ht="25" customHeight="1">
      <x:c r="A7" s="9" t="str">
        <x:v>CORRELATE WITH</x:v>
      </x:c>
      <x:c r="B7" s="12" t="str">
        <x:v>Rainfall, floods</x:v>
      </x:c>
    </x:row>
    <x:row r="8" ht="31" customHeight="1">
      <x:c r="A8" s="9" t="str">
        <x:v>VERIFIED SOURCE</x:v>
      </x:c>
      <x:c r="B8" s="12" t="str">
        <x:v>https://www.indiawris.gov.in/</x:v>
      </x:c>
    </x:row>
    <x:row r="9" ht="31" customHeight="1">
      <x:c r="A9" s="9" t="str">
        <x:v>ALTERNATE SOURCE</x:v>
      </x:c>
      <x:c r="B9" s="12" t="str">
        <x:v>https://nwdp.nwic.gov.in/en/dataset</x:v>
      </x:c>
    </x:row>
    <x:row r="10" ht="31" customHeight="1">
      <x:c r="A10" s="9" t="str">
        <x:v>ACCESS / CAVEAT</x:v>
      </x:c>
      <x:c r="B10" s="12" t="str">
        <x:v>Filter river observation stations on NWDP/India-WRIS.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river_station</x:v>
      </x:c>
      <x:c r="C13" s="22" t="str">
        <x:v>water_level_m</x:v>
      </x:c>
      <x:c r="D13" s="22" t="str">
        <x:v>discharge_cumec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31  |  Groundwater manual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Water</x:v>
      </x:c>
    </x:row>
    <x:row r="5" ht="25" customHeight="1">
      <x:c r="A5" s="9" t="str">
        <x:v>PUBLISHER</x:v>
      </x:c>
      <x:c r="B5" s="12" t="str">
        <x:v>CGWB / India-WRIS</x:v>
      </x:c>
    </x:row>
    <x:row r="6" ht="25" customHeight="1">
      <x:c r="A6" s="9" t="str">
        <x:v>ORIGINAL RESOLUTION</x:v>
      </x:c>
      <x:c r="B6" s="12" t="str">
        <x:v>Periodic, station</x:v>
      </x:c>
    </x:row>
    <x:row r="7" ht="25" customHeight="1">
      <x:c r="A7" s="9" t="str">
        <x:v>CORRELATE WITH</x:v>
      </x:c>
      <x:c r="B7" s="12" t="str">
        <x:v>Rainfall, crops</x:v>
      </x:c>
    </x:row>
    <x:row r="8" ht="31" customHeight="1">
      <x:c r="A8" s="9" t="str">
        <x:v>VERIFIED SOURCE</x:v>
      </x:c>
      <x:c r="B8" s="12" t="str">
        <x:v>https://cgwb.gov.in/en/ground-water-level-monitoring</x:v>
      </x:c>
    </x:row>
    <x:row r="9" ht="31" customHeight="1">
      <x:c r="A9" s="9" t="str">
        <x:v>ALTERNATE SOURCE</x:v>
      </x:c>
      <x:c r="B9" s="12" t="str">
        <x:v>https://www.indiawris.gov.in/</x:v>
      </x:c>
    </x:row>
    <x:row r="10" ht="31" customHeight="1">
      <x:c r="A10" s="9" t="str">
        <x:v>ACCESS / CAVEAT</x:v>
      </x:c>
      <x:c r="B10" s="12" t="str">
        <x:v>Periodic manual depth-to-water surveys; station/year selection.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well</x:v>
      </x:c>
      <x:c r="C13" s="22" t="str">
        <x:v>depth_to_water_m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32  |  Groundwater telemetry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Water</x:v>
      </x:c>
    </x:row>
    <x:row r="5" ht="25" customHeight="1">
      <x:c r="A5" s="9" t="str">
        <x:v>PUBLISHER</x:v>
      </x:c>
      <x:c r="B5" s="12" t="str">
        <x:v>CGWB / India-WRIS</x:v>
      </x:c>
    </x:row>
    <x:row r="6" ht="25" customHeight="1">
      <x:c r="A6" s="9" t="str">
        <x:v>ORIGINAL RESOLUTION</x:v>
      </x:c>
      <x:c r="B6" s="12" t="str">
        <x:v>Near real-time</x:v>
      </x:c>
    </x:row>
    <x:row r="7" ht="25" customHeight="1">
      <x:c r="A7" s="9" t="str">
        <x:v>CORRELATE WITH</x:v>
      </x:c>
      <x:c r="B7" s="12" t="str">
        <x:v>Rainfall, pumping</x:v>
      </x:c>
    </x:row>
    <x:row r="8" ht="31" customHeight="1">
      <x:c r="A8" s="9" t="str">
        <x:v>VERIFIED SOURCE</x:v>
      </x:c>
      <x:c r="B8" s="12" t="str">
        <x:v>https://cgwb.gov.in/en/ground-water-level-monitoring</x:v>
      </x:c>
    </x:row>
    <x:row r="9" ht="31" customHeight="1">
      <x:c r="A9" s="9" t="str">
        <x:v>ALTERNATE SOURCE</x:v>
      </x:c>
      <x:c r="B9" s="12" t="str">
        <x:v>https://www.indiawris.gov.in/</x:v>
      </x:c>
    </x:row>
    <x:row r="10" ht="31" customHeight="1">
      <x:c r="A10" s="9" t="str">
        <x:v>ACCESS / CAVEAT</x:v>
      </x:c>
      <x:c r="B10" s="12" t="str">
        <x:v>Telemetry access/coverage varies; CGWB describes 6-hour reporting at some sites.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time</x:v>
      </x:c>
      <x:c r="B13" s="22" t="str">
        <x:v>well</x:v>
      </x:c>
      <x:c r="C13" s="22" t="str">
        <x:v>water_level_m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33  |  Soil moisture evapotrans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Water</x:v>
      </x:c>
    </x:row>
    <x:row r="5" ht="25" customHeight="1">
      <x:c r="A5" s="9" t="str">
        <x:v>PUBLISHER</x:v>
      </x:c>
      <x:c r="B5" s="12" t="str">
        <x:v>India-WRIS</x:v>
      </x:c>
    </x:row>
    <x:row r="6" ht="25" customHeight="1">
      <x:c r="A6" s="9" t="str">
        <x:v>ORIGINAL RESOLUTION</x:v>
      </x:c>
      <x:c r="B6" s="12" t="str">
        <x:v>Daily</x:v>
      </x:c>
    </x:row>
    <x:row r="7" ht="25" customHeight="1">
      <x:c r="A7" s="9" t="str">
        <x:v>CORRELATE WITH</x:v>
      </x:c>
      <x:c r="B7" s="12" t="str">
        <x:v>Crops, temp</x:v>
      </x:c>
    </x:row>
    <x:row r="8" ht="31" customHeight="1">
      <x:c r="A8" s="9" t="str">
        <x:v>VERIFIED SOURCE</x:v>
      </x:c>
      <x:c r="B8" s="12" t="str">
        <x:v>https://www.indiawris.gov.in/</x:v>
      </x:c>
    </x:row>
    <x:row r="9" ht="31" customHeight="1">
      <x:c r="A9" s="9" t="str">
        <x:v>ALTERNATE SOURCE</x:v>
      </x:c>
      <x:c r="B9" s="12" t="str">
        <x:v>https://nwdp.nwic.gov.in/en/dataset</x:v>
      </x:c>
    </x:row>
    <x:row r="10" ht="31" customHeight="1">
      <x:c r="A10" s="9" t="str">
        <x:v>ACCESS / CAVEAT</x:v>
      </x:c>
      <x:c r="B10" s="12" t="str">
        <x:v>Gridded layers need geographic sampling or raster export.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lat</x:v>
      </x:c>
      <x:c r="C13" s="22" t="str">
        <x:v>lon</x:v>
      </x:c>
      <x:c r="D13" s="22" t="str">
        <x:v>soil_moisture</x:v>
      </x:c>
      <x:c r="E13" s="22" t="str">
        <x:v>evapotranspiration_mm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8" hidden="0" customWidth="1"/>
    <x:col min="5" max="5" width="20" hidden="0" customWidth="1"/>
    <x:col min="6" max="6" width="55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34  |  Weekly reservoir bulletin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Water</x:v>
      </x:c>
    </x:row>
    <x:row r="5" ht="25" customHeight="1">
      <x:c r="A5" s="9" t="str">
        <x:v>PUBLISHER</x:v>
      </x:c>
      <x:c r="B5" s="12" t="str">
        <x:v>CWC</x:v>
      </x:c>
    </x:row>
    <x:row r="6" ht="25" customHeight="1">
      <x:c r="A6" s="9" t="str">
        <x:v>ORIGINAL RESOLUTION</x:v>
      </x:c>
      <x:c r="B6" s="12" t="str">
        <x:v>Weekly</x:v>
      </x:c>
    </x:row>
    <x:row r="7" ht="25" customHeight="1">
      <x:c r="A7" s="9" t="str">
        <x:v>CORRELATE WITH</x:v>
      </x:c>
      <x:c r="B7" s="12" t="str">
        <x:v>Rainfall, power</x:v>
      </x:c>
    </x:row>
    <x:row r="8" ht="31" customHeight="1">
      <x:c r="A8" s="9" t="str">
        <x:v>VERIFIED SOURCE</x:v>
      </x:c>
      <x:c r="B8" s="12" t="str">
        <x:v>https://dataful.in/datasets/19368/</x:v>
      </x:c>
    </x:row>
    <x:row r="9" ht="31" customHeight="1">
      <x:c r="A9" s="9" t="str">
        <x:v>ALTERNATE SOURCE</x:v>
      </x:c>
      <x:c r="B9" s="12" t="str">
        <x:v>https://cwc.gov.in/</x:v>
      </x:c>
    </x:row>
    <x:row r="10" ht="31" customHeight="1">
      <x:c r="A10" s="9" t="str">
        <x:v>ACCESS / CAVEAT</x:v>
      </x:c>
      <x:c r="B10" s="12" t="str">
        <x:v>Ten real weekly storage sample records reproduced from Dataful/CWC, not full export.</x:v>
      </x:c>
    </x:row>
    <x:row r="12" ht="26" customHeight="1">
      <x:c r="A12" s="27" t="str">
        <x:v>PUBLIC PREVIEW — 10 weekly observations (NOT full dataset)</x:v>
      </x:c>
      <x:c r="B12" s="27"/>
      <x:c r="C12" s="27"/>
      <x:c r="D12" s="27"/>
      <x:c r="E12" s="27"/>
      <x:c r="F12" s="27"/>
      <x:c r="G12" s="27"/>
      <x:c r="H12" s="27"/>
      <x:c r="I12" s="27"/>
    </x:row>
    <x:row r="13" ht="32" customHeight="1">
      <x:c r="A13" s="22" t="str">
        <x:v>data_as_on</x:v>
      </x:c>
      <x:c r="B13" s="22" t="str">
        <x:v>region</x:v>
      </x:c>
      <x:c r="C13" s="22" t="str">
        <x:v>state</x:v>
      </x:c>
      <x:c r="D13" s="22" t="str">
        <x:v>percent_departure_from_normal</x:v>
      </x:c>
      <x:c r="E13" s="22" t="str">
        <x:v>unit</x:v>
      </x:c>
      <x:c r="F13" s="22" t="str">
        <x:v>source_url</x:v>
      </x:c>
    </x:row>
    <x:row r="14" ht="21" customHeight="1">
      <x:c r="A14" t="str">
        <x:v>2026-09-24</x:v>
      </x:c>
      <x:c r="B14" t="str">
        <x:v>Country as a Whole</x:v>
      </x:c>
      <x:c r="C14" t="str">
        <x:v>All India</x:v>
      </x:c>
      <x:c r="D14" t="n">
        <x:v>-11.52</x:v>
      </x:c>
      <x:c r="E14" t="str">
        <x:v>%</x:v>
      </x:c>
      <x:c r="F14" t="str">
        <x:v>https://dataful.in/datasets/19368/</x:v>
      </x:c>
    </x:row>
    <x:row r="15" ht="21" customHeight="1">
      <x:c r="A15" t="str">
        <x:v>2026-09-24</x:v>
      </x:c>
      <x:c r="B15" t="str">
        <x:v>Eastern Region</x:v>
      </x:c>
      <x:c r="C15" t="str">
        <x:v>Total</x:v>
      </x:c>
      <x:c r="D15" t="n">
        <x:v>-3.49</x:v>
      </x:c>
      <x:c r="E15" t="str">
        <x:v>%</x:v>
      </x:c>
      <x:c r="F15" t="str">
        <x:v>https://dataful.in/datasets/19368/</x:v>
      </x:c>
    </x:row>
    <x:row r="16" ht="21" customHeight="1">
      <x:c r="A16" t="str">
        <x:v>2026-09-24</x:v>
      </x:c>
      <x:c r="B16" t="str">
        <x:v>Southern Region</x:v>
      </x:c>
      <x:c r="C16" t="str">
        <x:v>Total</x:v>
      </x:c>
      <x:c r="D16" t="n">
        <x:v>-33.22</x:v>
      </x:c>
      <x:c r="E16" t="str">
        <x:v>%</x:v>
      </x:c>
      <x:c r="F16" t="str">
        <x:v>https://dataful.in/datasets/19368/</x:v>
      </x:c>
    </x:row>
    <x:row r="17" ht="21" customHeight="1">
      <x:c r="A17" t="str">
        <x:v>2026-09-24</x:v>
      </x:c>
      <x:c r="B17" t="str">
        <x:v>Southern Region</x:v>
      </x:c>
      <x:c r="C17" t="str">
        <x:v>Telangana</x:v>
      </x:c>
      <x:c r="D17" t="n">
        <x:v>-48.27</x:v>
      </x:c>
      <x:c r="E17" t="str">
        <x:v>%</x:v>
      </x:c>
      <x:c r="F17" t="str">
        <x:v>https://dataful.in/datasets/19368/</x:v>
      </x:c>
    </x:row>
    <x:row r="18" ht="21" customHeight="1">
      <x:c r="A18" t="str">
        <x:v>2026-09-24</x:v>
      </x:c>
      <x:c r="B18" t="str">
        <x:v>Southern Region</x:v>
      </x:c>
      <x:c r="C18" t="str">
        <x:v>Tamil Nadu</x:v>
      </x:c>
      <x:c r="D18" t="n">
        <x:v>-40.83</x:v>
      </x:c>
      <x:c r="E18" t="str">
        <x:v>%</x:v>
      </x:c>
      <x:c r="F18" t="str">
        <x:v>https://dataful.in/datasets/19368/</x:v>
      </x:c>
    </x:row>
    <x:row r="19" ht="21" customHeight="1">
      <x:c r="A19" t="str">
        <x:v>2026-09-24</x:v>
      </x:c>
      <x:c r="B19" t="str">
        <x:v>Southern Region</x:v>
      </x:c>
      <x:c r="C19" t="str">
        <x:v>Kerala</x:v>
      </x:c>
      <x:c r="D19" t="n">
        <x:v>-12.73</x:v>
      </x:c>
      <x:c r="E19" t="str">
        <x:v>%</x:v>
      </x:c>
      <x:c r="F19" t="str">
        <x:v>https://dataful.in/datasets/19368/</x:v>
      </x:c>
    </x:row>
    <x:row r="20" ht="21" customHeight="1">
      <x:c r="A20" t="str">
        <x:v>2026-09-24</x:v>
      </x:c>
      <x:c r="B20" t="str">
        <x:v>Southern Region</x:v>
      </x:c>
      <x:c r="C20" t="str">
        <x:v>Karnataka</x:v>
      </x:c>
      <x:c r="D20" t="n">
        <x:v>-22.27</x:v>
      </x:c>
      <x:c r="E20" t="str">
        <x:v>%</x:v>
      </x:c>
      <x:c r="F20" t="str">
        <x:v>https://dataful.in/datasets/19368/</x:v>
      </x:c>
    </x:row>
    <x:row r="21" ht="21" customHeight="1">
      <x:c r="A21" t="str">
        <x:v>2026-09-24</x:v>
      </x:c>
      <x:c r="B21" t="str">
        <x:v>Southern Region</x:v>
      </x:c>
      <x:c r="C21" t="str">
        <x:v>Andhra Pradesh</x:v>
      </x:c>
      <x:c r="D21" t="n">
        <x:v>-49.43</x:v>
      </x:c>
      <x:c r="E21" t="str">
        <x:v>%</x:v>
      </x:c>
      <x:c r="F21" t="str">
        <x:v>https://dataful.in/datasets/19368/</x:v>
      </x:c>
    </x:row>
    <x:row r="22" ht="21" customHeight="1">
      <x:c r="A22" t="str">
        <x:v>2026-09-24</x:v>
      </x:c>
      <x:c r="B22" t="str">
        <x:v>Central Region</x:v>
      </x:c>
      <x:c r="C22" t="str">
        <x:v>Total</x:v>
      </x:c>
      <x:c r="D22" t="n">
        <x:v>1.77</x:v>
      </x:c>
      <x:c r="E22" t="str">
        <x:v>%</x:v>
      </x:c>
      <x:c r="F22" t="str">
        <x:v>https://dataful.in/datasets/19368/</x:v>
      </x:c>
    </x:row>
    <x:row r="23" ht="21" customHeight="1">
      <x:c r="A23" t="str">
        <x:v>2026-09-24</x:v>
      </x:c>
      <x:c r="B23" t="str">
        <x:v>Central Region</x:v>
      </x:c>
      <x:c r="C23" t="str">
        <x:v>Uttarakhand</x:v>
      </x:c>
      <x:c r="D23" t="n">
        <x:v>4.46</x:v>
      </x:c>
      <x:c r="E23" t="str">
        <x:v>%</x:v>
      </x:c>
      <x:c r="F23" t="str">
        <x:v>https://dataful.in/datasets/19368/</x:v>
      </x:c>
    </x:row>
  </x:sheetData>
  <x:mergeCells>
    <x:mergeCell ref="A1:I2"/>
    <x:mergeCell ref="A12:I1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35  |  Water quality NWMP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Water</x:v>
      </x:c>
    </x:row>
    <x:row r="5" ht="25" customHeight="1">
      <x:c r="A5" s="9" t="str">
        <x:v>PUBLISHER</x:v>
      </x:c>
      <x:c r="B5" s="12" t="str">
        <x:v>CPCB</x:v>
      </x:c>
    </x:row>
    <x:row r="6" ht="25" customHeight="1">
      <x:c r="A6" s="9" t="str">
        <x:v>ORIGINAL RESOLUTION</x:v>
      </x:c>
      <x:c r="B6" s="12" t="str">
        <x:v>Monthly / quarterly</x:v>
      </x:c>
    </x:row>
    <x:row r="7" ht="25" customHeight="1">
      <x:c r="A7" s="9" t="str">
        <x:v>CORRELATE WITH</x:v>
      </x:c>
      <x:c r="B7" s="12" t="str">
        <x:v>Industry, population</x:v>
      </x:c>
    </x:row>
    <x:row r="8" ht="31" customHeight="1">
      <x:c r="A8" s="9" t="str">
        <x:v>VERIFIED SOURCE</x:v>
      </x:c>
      <x:c r="B8" s="12" t="str">
        <x:v>https://cpcb.nic.in/</x:v>
      </x:c>
    </x:row>
    <x:row r="9" ht="31" customHeight="1">
      <x:c r="A9" s="9" t="str">
        <x:v>ALTERNATE SOURCE</x:v>
      </x:c>
      <x:c r="B9" s="12" t="str">
        <x:v>https://dste.py.gov.in/ppcc/NWMP.html</x:v>
      </x:c>
    </x:row>
    <x:row r="10" ht="31" customHeight="1">
      <x:c r="A10" s="9" t="str">
        <x:v>ACCESS / CAVEAT</x:v>
      </x:c>
      <x:c r="B10" s="12" t="str">
        <x:v>Some states publish monitoring PDFs; full harmonized national raw file not verified.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station</x:v>
      </x:c>
      <x:c r="C13" s="22" t="str">
        <x:v>water_parameter</x:v>
      </x:c>
      <x:c r="D13" s="22" t="str">
        <x:v>result</x:v>
      </x:c>
      <x:c r="E13" s="22" t="str">
        <x:v>unit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36  |  VAHAN fuel registration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Transport</x:v>
      </x:c>
    </x:row>
    <x:row r="5" ht="25" customHeight="1">
      <x:c r="A5" s="9" t="str">
        <x:v>PUBLISHER</x:v>
      </x:c>
      <x:c r="B5" s="12" t="str">
        <x:v>VAHAN</x:v>
      </x:c>
    </x:row>
    <x:row r="6" ht="25" customHeight="1">
      <x:c r="A6" s="9" t="str">
        <x:v>ORIGINAL RESOLUTION</x:v>
      </x:c>
      <x:c r="B6" s="12" t="str">
        <x:v>Monthly, RTO/state</x:v>
      </x:c>
    </x:row>
    <x:row r="7" ht="25" customHeight="1">
      <x:c r="A7" s="9" t="str">
        <x:v>CORRELATE WITH</x:v>
      </x:c>
      <x:c r="B7" s="12" t="str">
        <x:v>AQI, EV adoption</x:v>
      </x:c>
    </x:row>
    <x:row r="8" ht="31" customHeight="1">
      <x:c r="A8" s="9" t="str">
        <x:v>VERIFIED SOURCE</x:v>
      </x:c>
      <x:c r="B8" s="12" t="str">
        <x:v>https://www.analytics.parivahan.gov.in/analytics/publicdashboard/vahan?lang=en</x:v>
      </x:c>
    </x:row>
    <x:row r="9" ht="31" customHeight="1">
      <x:c r="A9" s="9" t="str">
        <x:v>ALTERNATE SOURCE</x:v>
      </x:c>
      <x:c r="B9" s="12" t="str">
        <x:v>https://vahan.parivahan.gov.in/</x:v>
      </x:c>
    </x:row>
    <x:row r="10" ht="31" customHeight="1">
      <x:c r="A10" s="9" t="str">
        <x:v>ACCESS / CAVEAT</x:v>
      </x:c>
      <x:c r="B10" s="12" t="str">
        <x:v>Dashboard may require licensed ODC-By data; tabular report export is interactive.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rto</x:v>
      </x:c>
      <x:c r="D13" s="22" t="str">
        <x:v>fuel_type</x:v>
      </x:c>
      <x:c r="E13" s="22" t="str">
        <x:v>registrations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37  |  VAHAN vehicle classes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Transport</x:v>
      </x:c>
    </x:row>
    <x:row r="5" ht="25" customHeight="1">
      <x:c r="A5" s="9" t="str">
        <x:v>PUBLISHER</x:v>
      </x:c>
      <x:c r="B5" s="12" t="str">
        <x:v>VAHAN</x:v>
      </x:c>
    </x:row>
    <x:row r="6" ht="25" customHeight="1">
      <x:c r="A6" s="9" t="str">
        <x:v>ORIGINAL RESOLUTION</x:v>
      </x:c>
      <x:c r="B6" s="12" t="str">
        <x:v>Monthly</x:v>
      </x:c>
    </x:row>
    <x:row r="7" ht="25" customHeight="1">
      <x:c r="A7" s="9" t="str">
        <x:v>CORRELATE WITH</x:v>
      </x:c>
      <x:c r="B7" s="12" t="str">
        <x:v>AQI, PM10</x:v>
      </x:c>
    </x:row>
    <x:row r="8" ht="31" customHeight="1">
      <x:c r="A8" s="9" t="str">
        <x:v>VERIFIED SOURCE</x:v>
      </x:c>
      <x:c r="B8" s="12" t="str">
        <x:v>https://www.analytics.parivahan.gov.in/analytics/publicdashboard/vahan?lang=en</x:v>
      </x:c>
    </x:row>
    <x:row r="9" ht="31" customHeight="1">
      <x:c r="A9" s="9" t="str">
        <x:v>ALTERNATE SOURCE</x:v>
      </x:c>
      <x:c r="B9" s="12" t="str">
        <x:v>—</x:v>
      </x:c>
    </x:row>
    <x:row r="10" ht="31" customHeight="1">
      <x:c r="A10" s="9" t="str">
        <x:v>ACCESS / CAVEAT</x:v>
      </x:c>
      <x:c r="B10" s="12" t="str">
        <x:v>Interactive classes filtering; automated bulk export not verified.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vehicle_class</x:v>
      </x:c>
      <x:c r="D13" s="22" t="str">
        <x:v>registrations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38  |  VAHAN emission norms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Transport</x:v>
      </x:c>
    </x:row>
    <x:row r="5" ht="25" customHeight="1">
      <x:c r="A5" s="9" t="str">
        <x:v>PUBLISHER</x:v>
      </x:c>
      <x:c r="B5" s="12" t="str">
        <x:v>VAHAN</x:v>
      </x:c>
    </x:row>
    <x:row r="6" ht="25" customHeight="1">
      <x:c r="A6" s="9" t="str">
        <x:v>ORIGINAL RESOLUTION</x:v>
      </x:c>
      <x:c r="B6" s="12" t="str">
        <x:v>Monthly</x:v>
      </x:c>
    </x:row>
    <x:row r="7" ht="25" customHeight="1">
      <x:c r="A7" s="9" t="str">
        <x:v>CORRELATE WITH</x:v>
      </x:c>
      <x:c r="B7" s="12" t="str">
        <x:v>NO2, PM</x:v>
      </x:c>
    </x:row>
    <x:row r="8" ht="31" customHeight="1">
      <x:c r="A8" s="9" t="str">
        <x:v>VERIFIED SOURCE</x:v>
      </x:c>
      <x:c r="B8" s="12" t="str">
        <x:v>https://www.analytics.parivahan.gov.in/analytics/publicdashboard/vahan?lang=en</x:v>
      </x:c>
    </x:row>
    <x:row r="9" ht="31" customHeight="1">
      <x:c r="A9" s="9" t="str">
        <x:v>ALTERNATE SOURCE</x:v>
      </x:c>
      <x:c r="B9" s="12" t="str">
        <x:v>—</x:v>
      </x:c>
    </x:row>
    <x:row r="10" ht="31" customHeight="1">
      <x:c r="A10" s="9" t="str">
        <x:v>ACCESS / CAVEAT</x:v>
      </x:c>
      <x:c r="B10" s="12" t="str">
        <x:v>Interactive emission norm filter; automated bulk export not verified.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emission_norm</x:v>
      </x:c>
      <x:c r="D13" s="22" t="str">
        <x:v>registrations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39  |  VAHAN categories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Transport</x:v>
      </x:c>
    </x:row>
    <x:row r="5" ht="25" customHeight="1">
      <x:c r="A5" s="9" t="str">
        <x:v>PUBLISHER</x:v>
      </x:c>
      <x:c r="B5" s="12" t="str">
        <x:v>VAHAN</x:v>
      </x:c>
    </x:row>
    <x:row r="6" ht="25" customHeight="1">
      <x:c r="A6" s="9" t="str">
        <x:v>ORIGINAL RESOLUTION</x:v>
      </x:c>
      <x:c r="B6" s="12" t="str">
        <x:v>Monthly</x:v>
      </x:c>
    </x:row>
    <x:row r="7" ht="25" customHeight="1">
      <x:c r="A7" s="9" t="str">
        <x:v>CORRELATE WITH</x:v>
      </x:c>
      <x:c r="B7" s="12" t="str">
        <x:v>Consumption</x:v>
      </x:c>
    </x:row>
    <x:row r="8" ht="31" customHeight="1">
      <x:c r="A8" s="9" t="str">
        <x:v>VERIFIED SOURCE</x:v>
      </x:c>
      <x:c r="B8" s="12" t="str">
        <x:v>https://www.analytics.parivahan.gov.in/analytics/publicdashboard/vahan?lang=en</x:v>
      </x:c>
    </x:row>
    <x:row r="9" ht="31" customHeight="1">
      <x:c r="A9" s="9" t="str">
        <x:v>ALTERNATE SOURCE</x:v>
      </x:c>
      <x:c r="B9" s="12" t="str">
        <x:v>—</x:v>
      </x:c>
    </x:row>
    <x:row r="10" ht="31" customHeight="1">
      <x:c r="A10" s="9" t="str">
        <x:v>ACCESS / CAVEAT</x:v>
      </x:c>
      <x:c r="B10" s="12" t="str">
        <x:v>Interactive category filter; automated bulk export not verified.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category</x:v>
      </x:c>
      <x:c r="D13" s="22" t="str">
        <x:v>registrations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40  |  State road accidents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Transport</x:v>
      </x:c>
    </x:row>
    <x:row r="5" ht="25" customHeight="1">
      <x:c r="A5" s="9" t="str">
        <x:v>PUBLISHER</x:v>
      </x:c>
      <x:c r="B5" s="12" t="str">
        <x:v>MoRTH</x:v>
      </x:c>
    </x:row>
    <x:row r="6" ht="25" customHeight="1">
      <x:c r="A6" s="9" t="str">
        <x:v>ORIGINAL RESOLUTION</x:v>
      </x:c>
      <x:c r="B6" s="12" t="str">
        <x:v>Annual, state</x:v>
      </x:c>
    </x:row>
    <x:row r="7" ht="25" customHeight="1">
      <x:c r="A7" s="9" t="str">
        <x:v>CORRELATE WITH</x:v>
      </x:c>
      <x:c r="B7" s="12" t="str">
        <x:v>Vehicles, weather</x:v>
      </x:c>
    </x:row>
    <x:row r="8" ht="31" customHeight="1">
      <x:c r="A8" s="9" t="str">
        <x:v>VERIFIED SOURCE</x:v>
      </x:c>
      <x:c r="B8" s="12" t="str">
        <x:v>https://morth.nic.in/</x:v>
      </x:c>
    </x:row>
    <x:row r="9" ht="31" customHeight="1">
      <x:c r="A9" s="9" t="str">
        <x:v>ALTERNATE SOURCE</x:v>
      </x:c>
      <x:c r="B9" s="12" t="str">
        <x:v>https://morth.nic.in/sites/default/files/Road-Accident-in-India-2023-Publications.pdf</x:v>
      </x:c>
    </x:row>
    <x:row r="10" ht="31" customHeight="1">
      <x:c r="A10" s="9" t="str">
        <x:v>ACCESS / CAVEAT</x:v>
      </x:c>
      <x:c r="B10" s="12" t="str">
        <x:v>Annual report PDF contains tabulated official statistics.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year</x:v>
      </x:c>
      <x:c r="B13" s="22" t="str">
        <x:v>state</x:v>
      </x:c>
      <x:c r="C13" s="22" t="str">
        <x:v>road_accidents</x:v>
      </x:c>
      <x:c r="D13" s="22" t="str">
        <x:v>fatalities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41  |  Airport passengers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Transport</x:v>
      </x:c>
    </x:row>
    <x:row r="5" ht="25" customHeight="1">
      <x:c r="A5" s="9" t="str">
        <x:v>PUBLISHER</x:v>
      </x:c>
      <x:c r="B5" s="12" t="str">
        <x:v>AAI</x:v>
      </x:c>
    </x:row>
    <x:row r="6" ht="25" customHeight="1">
      <x:c r="A6" s="9" t="str">
        <x:v>ORIGINAL RESOLUTION</x:v>
      </x:c>
      <x:c r="B6" s="12" t="str">
        <x:v>Monthly</x:v>
      </x:c>
    </x:row>
    <x:row r="7" ht="25" customHeight="1">
      <x:c r="A7" s="9" t="str">
        <x:v>CORRELATE WITH</x:v>
      </x:c>
      <x:c r="B7" s="12" t="str">
        <x:v>Tourism, GDP</x:v>
      </x:c>
    </x:row>
    <x:row r="8" ht="31" customHeight="1">
      <x:c r="A8" s="9" t="str">
        <x:v>VERIFIED SOURCE</x:v>
      </x:c>
      <x:c r="B8" s="12" t="str">
        <x:v>https://www.aai.aero/en/business-opportunities/aai-traffic-news</x:v>
      </x:c>
    </x:row>
    <x:row r="9" ht="31" customHeight="1">
      <x:c r="A9" s="9" t="str">
        <x:v>ALTERNATE SOURCE</x:v>
      </x:c>
      <x:c r="B9" s="12" t="str">
        <x:v>—</x:v>
      </x:c>
    </x:row>
    <x:row r="10" ht="31" customHeight="1">
      <x:c r="A10" s="9" t="str">
        <x:v>ACCESS / CAVEAT</x:v>
      </x:c>
      <x:c r="B10" s="12" t="str">
        <x:v>Traffic News Annexure III monthly passenger tables.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airport</x:v>
      </x:c>
      <x:c r="C13" s="22" t="str">
        <x:v>passengers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42  |  Census 2011 pop amenities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Socio-economic and urban</x:v>
      </x:c>
    </x:row>
    <x:row r="5" ht="25" customHeight="1">
      <x:c r="A5" s="9" t="str">
        <x:v>PUBLISHER</x:v>
      </x:c>
      <x:c r="B5" s="12" t="str">
        <x:v>Census of India</x:v>
      </x:c>
    </x:row>
    <x:row r="6" ht="25" customHeight="1">
      <x:c r="A6" s="9" t="str">
        <x:v>ORIGINAL RESOLUTION</x:v>
      </x:c>
      <x:c r="B6" s="12" t="str">
        <x:v>District/town</x:v>
      </x:c>
    </x:row>
    <x:row r="7" ht="25" customHeight="1">
      <x:c r="A7" s="9" t="str">
        <x:v>CORRELATE WITH</x:v>
      </x:c>
      <x:c r="B7" s="12" t="str">
        <x:v>Density</x:v>
      </x:c>
    </x:row>
    <x:row r="8" ht="31" customHeight="1">
      <x:c r="A8" s="9" t="str">
        <x:v>VERIFIED SOURCE</x:v>
      </x:c>
      <x:c r="B8" s="12" t="str">
        <x:v>https://censusindia.gov.in/census.website/en/data/population-finder</x:v>
      </x:c>
    </x:row>
    <x:row r="9" ht="31" customHeight="1">
      <x:c r="A9" s="9" t="str">
        <x:v>ALTERNATE SOURCE</x:v>
      </x:c>
      <x:c r="B9" s="12" t="str">
        <x:v>https://censusindia.gov.in/census.website/data/census-tables</x:v>
      </x:c>
    </x:row>
    <x:row r="10" ht="31" customHeight="1">
      <x:c r="A10" s="9" t="str">
        <x:v>ACCESS / CAVEAT</x:v>
      </x:c>
      <x:c r="B10" s="12" t="str">
        <x:v>Population Finder and Census Tables publish XLSX/CSV; combine indicators.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census_year</x:v>
      </x:c>
      <x:c r="B13" s="22" t="str">
        <x:v>state</x:v>
      </x:c>
      <x:c r="C13" s="22" t="str">
        <x:v>district</x:v>
      </x:c>
      <x:c r="D13" s="22" t="str">
        <x:v>town</x:v>
      </x:c>
      <x:c r="E13" s="22" t="str">
        <x:v>population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43  |  State GDP national accounts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Socio-economic and urban</x:v>
      </x:c>
    </x:row>
    <x:row r="5" ht="25" customHeight="1">
      <x:c r="A5" s="9" t="str">
        <x:v>PUBLISHER</x:v>
      </x:c>
      <x:c r="B5" s="12" t="str">
        <x:v>MoSPI</x:v>
      </x:c>
    </x:row>
    <x:row r="6" ht="25" customHeight="1">
      <x:c r="A6" s="9" t="str">
        <x:v>ORIGINAL RESOLUTION</x:v>
      </x:c>
      <x:c r="B6" s="12" t="str">
        <x:v>Annual / quarterly</x:v>
      </x:c>
    </x:row>
    <x:row r="7" ht="25" customHeight="1">
      <x:c r="A7" s="9" t="str">
        <x:v>CORRELATE WITH</x:v>
      </x:c>
      <x:c r="B7" s="12" t="str">
        <x:v>Power, vehicles</x:v>
      </x:c>
    </x:row>
    <x:row r="8" ht="31" customHeight="1">
      <x:c r="A8" s="9" t="str">
        <x:v>VERIFIED SOURCE</x:v>
      </x:c>
      <x:c r="B8" s="12" t="str">
        <x:v>https://esankhyiki.mospi.gov.in/</x:v>
      </x:c>
    </x:row>
    <x:row r="9" ht="31" customHeight="1">
      <x:c r="A9" s="9" t="str">
        <x:v>ALTERNATE SOURCE</x:v>
      </x:c>
      <x:c r="B9" s="12" t="str">
        <x:v>https://www.mospi.gov.in/</x:v>
      </x:c>
    </x:row>
    <x:row r="10" ht="31" customHeight="1">
      <x:c r="A10" s="9" t="str">
        <x:v>ACCESS / CAVEAT</x:v>
      </x:c>
      <x:c r="B10" s="12" t="str">
        <x:v>Pick state domestic product tables by reference year and series.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year</x:v>
      </x:c>
      <x:c r="B13" s="22" t="str">
        <x:v>state</x:v>
      </x:c>
      <x:c r="C13" s="22" t="str">
        <x:v>gsdp_rupees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44  |  PLFS employment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Socio-economic and urban</x:v>
      </x:c>
    </x:row>
    <x:row r="5" ht="25" customHeight="1">
      <x:c r="A5" s="9" t="str">
        <x:v>PUBLISHER</x:v>
      </x:c>
      <x:c r="B5" s="12" t="str">
        <x:v>MoSPI</x:v>
      </x:c>
    </x:row>
    <x:row r="6" ht="25" customHeight="1">
      <x:c r="A6" s="9" t="str">
        <x:v>ORIGINAL RESOLUTION</x:v>
      </x:c>
      <x:c r="B6" s="12" t="str">
        <x:v>Quarterly</x:v>
      </x:c>
    </x:row>
    <x:row r="7" ht="25" customHeight="1">
      <x:c r="A7" s="9" t="str">
        <x:v>CORRELATE WITH</x:v>
      </x:c>
      <x:c r="B7" s="12" t="str">
        <x:v>Consumption, migration</x:v>
      </x:c>
    </x:row>
    <x:row r="8" ht="31" customHeight="1">
      <x:c r="A8" s="9" t="str">
        <x:v>VERIFIED SOURCE</x:v>
      </x:c>
      <x:c r="B8" s="12" t="str">
        <x:v>https://esankhyiki.mospi.gov.in/catalogue-main/catalogue?page=0&amp;product=PLFS</x:v>
      </x:c>
    </x:row>
    <x:row r="9" ht="31" customHeight="1">
      <x:c r="A9" s="9" t="str">
        <x:v>ALTERNATE SOURCE</x:v>
      </x:c>
      <x:c r="B9" s="12" t="str">
        <x:v>https://www.mospi.gov.in/</x:v>
      </x:c>
    </x:row>
    <x:row r="10" ht="31" customHeight="1">
      <x:c r="A10" s="9" t="str">
        <x:v>ACCESS / CAVEAT</x:v>
      </x:c>
      <x:c r="B10" s="12" t="str">
        <x:v>MoSPI table catalogue also publishes monthly PLFS; choose quarterly tables.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quarter</x:v>
      </x:c>
      <x:c r="B13" s="22" t="str">
        <x:v>state</x:v>
      </x:c>
      <x:c r="C13" s="22" t="str">
        <x:v>lfpr_percent</x:v>
      </x:c>
      <x:c r="D13" s="22" t="str">
        <x:v>ur_percent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6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45  |  SDG India Index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Socio-economic and urban</x:v>
      </x:c>
    </x:row>
    <x:row r="5" ht="25" customHeight="1">
      <x:c r="A5" s="9" t="str">
        <x:v>PUBLISHER</x:v>
      </x:c>
      <x:c r="B5" s="12" t="str">
        <x:v>NITI Aayog</x:v>
      </x:c>
    </x:row>
    <x:row r="6" ht="25" customHeight="1">
      <x:c r="A6" s="9" t="str">
        <x:v>ORIGINAL RESOLUTION</x:v>
      </x:c>
      <x:c r="B6" s="12" t="str">
        <x:v>State, annual editions</x:v>
      </x:c>
    </x:row>
    <x:row r="7" ht="25" customHeight="1">
      <x:c r="A7" s="9" t="str">
        <x:v>CORRELATE WITH</x:v>
      </x:c>
      <x:c r="B7" s="12" t="str">
        <x:v>Development score</x:v>
      </x:c>
    </x:row>
    <x:row r="8" ht="31" customHeight="1">
      <x:c r="A8" s="9" t="str">
        <x:v>VERIFIED SOURCE</x:v>
      </x:c>
      <x:c r="B8" s="12" t="str">
        <x:v>https://www.niti.gov.in/reports-sdg</x:v>
      </x:c>
    </x:row>
    <x:row r="9" ht="31" customHeight="1">
      <x:c r="A9" s="9" t="str">
        <x:v>ALTERNATE SOURCE</x:v>
      </x:c>
      <x:c r="B9" s="12" t="str">
        <x:v>https://www.niti.gov.in/sites/default/files/2024-07/SDG_India_Index_2023-24.pdf</x:v>
      </x:c>
    </x:row>
    <x:row r="10" ht="31" customHeight="1">
      <x:c r="A10" s="9" t="str">
        <x:v>ACCESS / CAVEAT</x:v>
      </x:c>
      <x:c r="B10" s="12" t="str">
        <x:v>National aggregate edition scores included; state index table not extracted.</x:v>
      </x:c>
    </x:row>
    <x:row r="12" ht="26" customHeight="1">
      <x:c r="A12" s="27" t="str">
        <x:v>RELATED SUMMARY — national SDG composite scores, NOT state index</x:v>
      </x:c>
      <x:c r="B12" s="27"/>
      <x:c r="C12" s="27"/>
      <x:c r="D12" s="27"/>
      <x:c r="E12" s="27"/>
      <x:c r="F12" s="27"/>
      <x:c r="G12" s="27"/>
      <x:c r="H12" s="27"/>
      <x:c r="I12" s="27"/>
    </x:row>
    <x:row r="13" ht="32" customHeight="1">
      <x:c r="A13" s="22" t="str">
        <x:v>edition</x:v>
      </x:c>
      <x:c r="B13" s="22" t="str">
        <x:v>geography</x:v>
      </x:c>
      <x:c r="C13" s="22" t="str">
        <x:v>composite_score_0_100</x:v>
      </x:c>
      <x:c r="D13" s="22" t="str">
        <x:v>source_url</x:v>
      </x:c>
    </x:row>
    <x:row r="14" ht="21" customHeight="1">
      <x:c r="A14" t="str">
        <x:v>2018</x:v>
      </x:c>
      <x:c r="B14" t="str">
        <x:v>India</x:v>
      </x:c>
      <x:c r="C14" t="n">
        <x:v>57</x:v>
      </x:c>
      <x:c r="D14" t="str">
        <x:v>https://www.niti.gov.in/sites/default/files/2024-07/SDG_India_Index_2023-24.pdf</x:v>
      </x:c>
    </x:row>
    <x:row r="15" ht="21" customHeight="1">
      <x:c r="A15" t="str">
        <x:v>2020-21</x:v>
      </x:c>
      <x:c r="B15" t="str">
        <x:v>India</x:v>
      </x:c>
      <x:c r="C15" t="n">
        <x:v>66</x:v>
      </x:c>
      <x:c r="D15" t="str">
        <x:v>https://www.niti.gov.in/sites/default/files/2024-07/SDG_India_Index_2023-24.pdf</x:v>
      </x:c>
    </x:row>
    <x:row r="16" ht="21" customHeight="1">
      <x:c r="A16" t="str">
        <x:v>2023-24</x:v>
      </x:c>
      <x:c r="B16" t="str">
        <x:v>India</x:v>
      </x:c>
      <x:c r="C16" t="n">
        <x:v>71</x:v>
      </x:c>
      <x:c r="D16" t="str">
        <x:v>https://www.niti.gov.in/sites/default/files/2024-07/SDG_India_Index_2023-24.pdf</x:v>
      </x:c>
    </x:row>
  </x:sheetData>
  <x:mergeCells>
    <x:mergeCell ref="A1:I2"/>
    <x:mergeCell ref="A12:I12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46  |  Multidimensional poverty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Socio-economic and urban</x:v>
      </x:c>
    </x:row>
    <x:row r="5" ht="25" customHeight="1">
      <x:c r="A5" s="9" t="str">
        <x:v>PUBLISHER</x:v>
      </x:c>
      <x:c r="B5" s="12" t="str">
        <x:v>NITI Aayog</x:v>
      </x:c>
    </x:row>
    <x:row r="6" ht="25" customHeight="1">
      <x:c r="A6" s="9" t="str">
        <x:v>ORIGINAL RESOLUTION</x:v>
      </x:c>
      <x:c r="B6" s="12" t="str">
        <x:v>State/district</x:v>
      </x:c>
    </x:row>
    <x:row r="7" ht="25" customHeight="1">
      <x:c r="A7" s="9" t="str">
        <x:v>CORRELATE WITH</x:v>
      </x:c>
      <x:c r="B7" s="12" t="str">
        <x:v>Development areas</x:v>
      </x:c>
    </x:row>
    <x:row r="8" ht="31" customHeight="1">
      <x:c r="A8" s="9" t="str">
        <x:v>VERIFIED SOURCE</x:v>
      </x:c>
      <x:c r="B8" s="12" t="str">
        <x:v>https://www.niti.gov.in/node/868</x:v>
      </x:c>
    </x:row>
    <x:row r="9" ht="31" customHeight="1">
      <x:c r="A9" s="9" t="str">
        <x:v>ALTERNATE SOURCE</x:v>
      </x:c>
      <x:c r="B9" s="12" t="str">
        <x:v>https://www.niti.gov.in/divisions/division/sustainable-development-goal</x:v>
      </x:c>
    </x:row>
    <x:row r="10" ht="31" customHeight="1">
      <x:c r="A10" s="9" t="str">
        <x:v>ACCESS / CAVEAT</x:v>
      </x:c>
      <x:c r="B10" s="12" t="str">
        <x:v>National MPI 2023 based on NFHS-5 (2019–2021), not annual time series.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state</x:v>
      </x:c>
      <x:c r="B13" s="22" t="str">
        <x:v>district</x:v>
      </x:c>
      <x:c r="C13" s="22" t="str">
        <x:v>nfhs_period</x:v>
      </x:c>
      <x:c r="D13" s="22" t="str">
        <x:v>mpi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47  |  GST collections state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Socio-economic and urban</x:v>
      </x:c>
    </x:row>
    <x:row r="5" ht="25" customHeight="1">
      <x:c r="A5" s="9" t="str">
        <x:v>PUBLISHER</x:v>
      </x:c>
      <x:c r="B5" s="12" t="str">
        <x:v>GSTN / Finance Ministry</x:v>
      </x:c>
    </x:row>
    <x:row r="6" ht="25" customHeight="1">
      <x:c r="A6" s="9" t="str">
        <x:v>ORIGINAL RESOLUTION</x:v>
      </x:c>
      <x:c r="B6" s="12" t="str">
        <x:v>Monthly, state</x:v>
      </x:c>
    </x:row>
    <x:row r="7" ht="25" customHeight="1">
      <x:c r="A7" s="9" t="str">
        <x:v>CORRELATE WITH</x:v>
      </x:c>
      <x:c r="B7" s="12" t="str">
        <x:v>Electricity, vehicles</x:v>
      </x:c>
    </x:row>
    <x:row r="8" ht="31" customHeight="1">
      <x:c r="A8" s="9" t="str">
        <x:v>VERIFIED SOURCE</x:v>
      </x:c>
      <x:c r="B8" s="12" t="str">
        <x:v>https://www.gst.gov.in/</x:v>
      </x:c>
    </x:row>
    <x:row r="9" ht="31" customHeight="1">
      <x:c r="A9" s="9" t="str">
        <x:v>ALTERNATE SOURCE</x:v>
      </x:c>
      <x:c r="B9" s="12" t="str">
        <x:v>https://tutorial.gst.gov.in/</x:v>
      </x:c>
    </x:row>
    <x:row r="10" ht="31" customHeight="1">
      <x:c r="A10" s="9" t="str">
        <x:v>ACCESS / CAVEAT</x:v>
      </x:c>
      <x:c r="B10" s="12" t="str">
        <x:v>Official monthly press notes and tables; compilation requires extraction.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state</x:v>
      </x:c>
      <x:c r="C13" s="22" t="str">
        <x:v>gross_gst_crore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48  |  Smart Cities indicators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Socio-economic and urban</x:v>
      </x:c>
    </x:row>
    <x:row r="5" ht="25" customHeight="1">
      <x:c r="A5" s="9" t="str">
        <x:v>PUBLISHER</x:v>
      </x:c>
      <x:c r="B5" s="12" t="str">
        <x:v>MoHUA</x:v>
      </x:c>
    </x:row>
    <x:row r="6" ht="25" customHeight="1">
      <x:c r="A6" s="9" t="str">
        <x:v>ORIGINAL RESOLUTION</x:v>
      </x:c>
      <x:c r="B6" s="12" t="str">
        <x:v>City</x:v>
      </x:c>
    </x:row>
    <x:row r="7" ht="25" customHeight="1">
      <x:c r="A7" s="9" t="str">
        <x:v>CORRELATE WITH</x:v>
      </x:c>
      <x:c r="B7" s="12" t="str">
        <x:v>AQI, development</x:v>
      </x:c>
    </x:row>
    <x:row r="8" ht="31" customHeight="1">
      <x:c r="A8" s="9" t="str">
        <x:v>VERIFIED SOURCE</x:v>
      </x:c>
      <x:c r="B8" s="12" t="str">
        <x:v>https://smartcities.gov.in/</x:v>
      </x:c>
    </x:row>
    <x:row r="9" ht="31" customHeight="1">
      <x:c r="A9" s="9" t="str">
        <x:v>ALTERNATE SOURCE</x:v>
      </x:c>
      <x:c r="B9" s="12" t="str">
        <x:v>https://mohua.gov.in/</x:v>
      </x:c>
    </x:row>
    <x:row r="10" ht="31" customHeight="1">
      <x:c r="A10" s="9" t="str">
        <x:v>ACCESS / CAVEAT</x:v>
      </x:c>
      <x:c r="B10" s="12" t="str">
        <x:v>Project/city indicators vary by municipal dashboard; unified export not verified.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city</x:v>
      </x:c>
      <x:c r="B13" s="22" t="str">
        <x:v>indicator</x:v>
      </x:c>
      <x:c r="C13" s="22" t="str">
        <x:v>value</x:v>
      </x:c>
      <x:c r="D13" s="22" t="str">
        <x:v>as_of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49  |  Daily mandi prices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Agriculture and land</x:v>
      </x:c>
    </x:row>
    <x:row r="5" ht="25" customHeight="1">
      <x:c r="A5" s="9" t="str">
        <x:v>PUBLISHER</x:v>
      </x:c>
      <x:c r="B5" s="12" t="str">
        <x:v>Agriculture / AGMARKNET</x:v>
      </x:c>
    </x:row>
    <x:row r="6" ht="25" customHeight="1">
      <x:c r="A6" s="9" t="str">
        <x:v>ORIGINAL RESOLUTION</x:v>
      </x:c>
      <x:c r="B6" s="12" t="str">
        <x:v>Daily</x:v>
      </x:c>
    </x:row>
    <x:row r="7" ht="25" customHeight="1">
      <x:c r="A7" s="9" t="str">
        <x:v>CORRELATE WITH</x:v>
      </x:c>
      <x:c r="B7" s="12" t="str">
        <x:v>Weather, rainfall</x:v>
      </x:c>
    </x:row>
    <x:row r="8" ht="31" customHeight="1">
      <x:c r="A8" s="9" t="str">
        <x:v>VERIFIED SOURCE</x:v>
      </x:c>
      <x:c r="B8" s="12" t="str">
        <x:v>https://www.data.gov.in/resource/current-daily-price-various-commodities-various-markets-mandi</x:v>
      </x:c>
    </x:row>
    <x:row r="9" ht="31" customHeight="1">
      <x:c r="A9" s="9" t="str">
        <x:v>ALTERNATE SOURCE</x:v>
      </x:c>
      <x:c r="B9" s="12" t="str">
        <x:v>https://agmarknet.gov.in/</x:v>
      </x:c>
    </x:row>
    <x:row r="10" ht="31" customHeight="1">
      <x:c r="A10" s="9" t="str">
        <x:v>ACCESS / CAVEAT</x:v>
      </x:c>
      <x:c r="B10" s="12" t="str">
        <x:v>OGD API and catalog resources; likely API key or portal export.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market</x:v>
      </x:c>
      <x:c r="C13" s="22" t="str">
        <x:v>commodity</x:v>
      </x:c>
      <x:c r="D13" s="22" t="str">
        <x:v>modal_price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50  |  Crop area production yield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Agriculture and land</x:v>
      </x:c>
    </x:row>
    <x:row r="5" ht="25" customHeight="1">
      <x:c r="A5" s="9" t="str">
        <x:v>PUBLISHER</x:v>
      </x:c>
      <x:c r="B5" s="12" t="str">
        <x:v>Agriculture DES</x:v>
      </x:c>
    </x:row>
    <x:row r="6" ht="25" customHeight="1">
      <x:c r="A6" s="9" t="str">
        <x:v>ORIGINAL RESOLUTION</x:v>
      </x:c>
      <x:c r="B6" s="12" t="str">
        <x:v>District, annual</x:v>
      </x:c>
    </x:row>
    <x:row r="7" ht="25" customHeight="1">
      <x:c r="A7" s="9" t="str">
        <x:v>CORRELATE WITH</x:v>
      </x:c>
      <x:c r="B7" s="12" t="str">
        <x:v>Groundwater, rainfall</x:v>
      </x:c>
    </x:row>
    <x:row r="8" ht="31" customHeight="1">
      <x:c r="A8" s="9" t="str">
        <x:v>VERIFIED SOURCE</x:v>
      </x:c>
      <x:c r="B8" s="12" t="str">
        <x:v>https://data.desagri.gov.in/website/crops-apy-report-web</x:v>
      </x:c>
    </x:row>
    <x:row r="9" ht="31" customHeight="1">
      <x:c r="A9" s="9" t="str">
        <x:v>ALTERNATE SOURCE</x:v>
      </x:c>
      <x:c r="B9" s="12" t="str">
        <x:v>https://data.desagri.gov.in/website/apy-query-report-web</x:v>
      </x:c>
    </x:row>
    <x:row r="10" ht="31" customHeight="1">
      <x:c r="A10" s="9" t="str">
        <x:v>ACCESS / CAVEAT</x:v>
      </x:c>
      <x:c r="B10" s="12" t="str">
        <x:v>Choose state/district/crop/year in interactive report.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year</x:v>
      </x:c>
      <x:c r="B13" s="22" t="str">
        <x:v>state</x:v>
      </x:c>
      <x:c r="C13" s="22" t="str">
        <x:v>district</x:v>
      </x:c>
      <x:c r="D13" s="22" t="str">
        <x:v>crop</x:v>
      </x:c>
      <x:c r="E13" s="22" t="str">
        <x:v>area_ha</x:v>
      </x:c>
      <x:c r="F13" s="22" t="str">
        <x:v>yield_kg_ha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51  |  State of Forest Report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Agriculture and land</x:v>
      </x:c>
    </x:row>
    <x:row r="5" ht="25" customHeight="1">
      <x:c r="A5" s="9" t="str">
        <x:v>PUBLISHER</x:v>
      </x:c>
      <x:c r="B5" s="12" t="str">
        <x:v>Forest Survey of India</x:v>
      </x:c>
    </x:row>
    <x:row r="6" ht="25" customHeight="1">
      <x:c r="A6" s="9" t="str">
        <x:v>ORIGINAL RESOLUTION</x:v>
      </x:c>
      <x:c r="B6" s="12" t="str">
        <x:v>State, biennial</x:v>
      </x:c>
    </x:row>
    <x:row r="7" ht="25" customHeight="1">
      <x:c r="A7" s="9" t="str">
        <x:v>CORRELATE WITH</x:v>
      </x:c>
      <x:c r="B7" s="12" t="str">
        <x:v>AQI, temp</x:v>
      </x:c>
    </x:row>
    <x:row r="8" ht="31" customHeight="1">
      <x:c r="A8" s="9" t="str">
        <x:v>VERIFIED SOURCE</x:v>
      </x:c>
      <x:c r="B8" s="12" t="str">
        <x:v>https://www.fsi.nic.in/forest-report-2023</x:v>
      </x:c>
    </x:row>
    <x:row r="9" ht="31" customHeight="1">
      <x:c r="A9" s="9" t="str">
        <x:v>ALTERNATE SOURCE</x:v>
      </x:c>
      <x:c r="B9" s="12" t="str">
        <x:v>https://fsi.nic.in/isfr-volume-ii</x:v>
      </x:c>
    </x:row>
    <x:row r="10" ht="31" customHeight="1">
      <x:c r="A10" s="9" t="str">
        <x:v>ACCESS / CAVEAT</x:v>
      </x:c>
      <x:c r="B10" s="12" t="str">
        <x:v>Latest 2023 edition located; forest cover map layers can have fees.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edition_year</x:v>
      </x:c>
      <x:c r="B13" s="22" t="str">
        <x:v>state</x:v>
      </x:c>
      <x:c r="C13" s="22" t="str">
        <x:v>forest_cover_sqkm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52  |  Land use land cover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Agriculture and land</x:v>
      </x:c>
    </x:row>
    <x:row r="5" ht="25" customHeight="1">
      <x:c r="A5" s="9" t="str">
        <x:v>PUBLISHER</x:v>
      </x:c>
      <x:c r="B5" s="12" t="str">
        <x:v>ISRO NRSC Bhuvan</x:v>
      </x:c>
    </x:row>
    <x:row r="6" ht="25" customHeight="1">
      <x:c r="A6" s="9" t="str">
        <x:v>ORIGINAL RESOLUTION</x:v>
      </x:c>
      <x:c r="B6" s="12" t="str">
        <x:v>Gridded</x:v>
      </x:c>
    </x:row>
    <x:row r="7" ht="25" customHeight="1">
      <x:c r="A7" s="9" t="str">
        <x:v>CORRELATE WITH</x:v>
      </x:c>
      <x:c r="B7" s="12" t="str">
        <x:v>Urban dev</x:v>
      </x:c>
    </x:row>
    <x:row r="8" ht="31" customHeight="1">
      <x:c r="A8" s="9" t="str">
        <x:v>VERIFIED SOURCE</x:v>
      </x:c>
      <x:c r="B8" s="12" t="str">
        <x:v>https://bhuvan.nrsc.gov.in/wiki/index.php/How_to_use_WMS_services</x:v>
      </x:c>
    </x:row>
    <x:row r="9" ht="31" customHeight="1">
      <x:c r="A9" s="9" t="str">
        <x:v>ALTERNATE SOURCE</x:v>
      </x:c>
      <x:c r="B9" s="12" t="str">
        <x:v>https://bhuvan.nrsc.gov.in/</x:v>
      </x:c>
    </x:row>
    <x:row r="10" ht="31" customHeight="1">
      <x:c r="A10" s="9" t="str">
        <x:v>ACCESS / CAVEAT</x:v>
      </x:c>
      <x:c r="B10" s="12" t="str">
        <x:v>Web map services provide LULC spatial layer; requires GIS to extract tabular data.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year</x:v>
      </x:c>
      <x:c r="B13" s="22" t="str">
        <x:v>lat</x:v>
      </x:c>
      <x:c r="C13" s="22" t="str">
        <x:v>lon</x:v>
      </x:c>
      <x:c r="D13" s="22" t="str">
        <x:v>lulc_class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53  |  VIIRS active fires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Hazards and health</x:v>
      </x:c>
    </x:row>
    <x:row r="5" ht="25" customHeight="1">
      <x:c r="A5" s="9" t="str">
        <x:v>PUBLISHER</x:v>
      </x:c>
      <x:c r="B5" s="12" t="str">
        <x:v>NASA FIRMS</x:v>
      </x:c>
    </x:row>
    <x:row r="6" ht="25" customHeight="1">
      <x:c r="A6" s="9" t="str">
        <x:v>ORIGINAL RESOLUTION</x:v>
      </x:c>
      <x:c r="B6" s="12" t="str">
        <x:v>Daily, gridded</x:v>
      </x:c>
    </x:row>
    <x:row r="7" ht="25" customHeight="1">
      <x:c r="A7" s="9" t="str">
        <x:v>CORRELATE WITH</x:v>
      </x:c>
      <x:c r="B7" s="12" t="str">
        <x:v>PM2.5</x:v>
      </x:c>
    </x:row>
    <x:row r="8" ht="31" customHeight="1">
      <x:c r="A8" s="9" t="str">
        <x:v>VERIFIED SOURCE</x:v>
      </x:c>
      <x:c r="B8" s="12" t="str">
        <x:v>https://firms.modaps.eosdis.nasa.gov/content/active_fire/</x:v>
      </x:c>
    </x:row>
    <x:row r="9" ht="31" customHeight="1">
      <x:c r="A9" s="9" t="str">
        <x:v>ALTERNATE SOURCE</x:v>
      </x:c>
      <x:c r="B9" s="12" t="str">
        <x:v>https://firms2.modaps.eosdis.nasa.gov/download/</x:v>
      </x:c>
    </x:row>
    <x:row r="10" ht="31" customHeight="1">
      <x:c r="A10" s="9" t="str">
        <x:v>ACCESS / CAVEAT</x:v>
      </x:c>
      <x:c r="B10" s="12" t="str">
        <x:v>Earthdata login / archive download required for extended history.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date</x:v>
      </x:c>
      <x:c r="B13" s="22" t="str">
        <x:v>lat</x:v>
      </x:c>
      <x:c r="C13" s="22" t="str">
        <x:v>lon</x:v>
      </x:c>
      <x:c r="D13" s="22" t="str">
        <x:v>frp_mw</x:v>
      </x:c>
      <x:c r="E13" s="22" t="str">
        <x:v>confidence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54  |  Health facility HMIS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Hazards and health</x:v>
      </x:c>
    </x:row>
    <x:row r="5" ht="25" customHeight="1">
      <x:c r="A5" s="9" t="str">
        <x:v>PUBLISHER</x:v>
      </x:c>
      <x:c r="B5" s="12" t="str">
        <x:v>MoHFW</x:v>
      </x:c>
    </x:row>
    <x:row r="6" ht="25" customHeight="1">
      <x:c r="A6" s="9" t="str">
        <x:v>ORIGINAL RESOLUTION</x:v>
      </x:c>
      <x:c r="B6" s="12" t="str">
        <x:v>Monthly, district</x:v>
      </x:c>
    </x:row>
    <x:row r="7" ht="25" customHeight="1">
      <x:c r="A7" s="9" t="str">
        <x:v>CORRELATE WITH</x:v>
      </x:c>
      <x:c r="B7" s="12" t="str">
        <x:v>AQI, heat</x:v>
      </x:c>
    </x:row>
    <x:row r="8" ht="31" customHeight="1">
      <x:c r="A8" s="9" t="str">
        <x:v>VERIFIED SOURCE</x:v>
      </x:c>
      <x:c r="B8" s="12" t="str">
        <x:v>https://hmis.mohfw.gov.in/</x:v>
      </x:c>
    </x:row>
    <x:row r="9" ht="31" customHeight="1">
      <x:c r="A9" s="9" t="str">
        <x:v>ALTERNATE SOURCE</x:v>
      </x:c>
      <x:c r="B9" s="12" t="str">
        <x:v>https://main.mohfw.gov.in/</x:v>
      </x:c>
    </x:row>
    <x:row r="10" ht="31" customHeight="1">
      <x:c r="A10" s="9" t="str">
        <x:v>ACCESS / CAVEAT</x:v>
      </x:c>
      <x:c r="B10" s="12" t="str">
        <x:v>HMIS monthly district public exports depend on portal permissions.</x:v>
      </x:c>
    </x:row>
    <x:row r="12" ht="26" customHeight="1">
      <x:c r="A12" s="27" t="str">
        <x:v>NO RAW OBSERVATIONS IMPORTED — SOURCE LINK / ACQUISITION ONLY</x:v>
      </x:c>
      <x:c r="B12" s="27"/>
      <x:c r="C12" s="27"/>
      <x:c r="D12" s="27"/>
      <x:c r="E12" s="27"/>
      <x:c r="F12" s="27"/>
      <x:c r="G12" s="27"/>
      <x:c r="H12" s="27"/>
      <x:c r="I12" s="27"/>
    </x:row>
    <x:row r="13" ht="28" customHeight="1">
      <x:c r="A13" s="22" t="str">
        <x:v>month</x:v>
      </x:c>
      <x:c r="B13" s="22" t="str">
        <x:v>district</x:v>
      </x:c>
      <x:c r="C13" s="22" t="str">
        <x:v>facility</x:v>
      </x:c>
      <x:c r="D13" s="22" t="str">
        <x:v>indicator</x:v>
      </x:c>
      <x:c r="E13" s="22" t="str">
        <x:v>value</x:v>
      </x:c>
    </x:row>
    <x:row r="14">
      <x:c r="A14" s="24" t="str">
        <x:v>Planned column names are indicative only; confirm against the actual provider export. Blank records are missing, NOT zero.</x:v>
      </x:c>
    </x:row>
  </x:sheetData>
  <x:mergeCells>
    <x:mergeCell ref="A1:I2"/>
    <x:mergeCell ref="A12:I12"/>
    <x:mergeCell ref="A14:H14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defaultRowHeight="15"/>
  <x:cols>
    <x:col min="1" max="1" width="23" hidden="0" customWidth="1"/>
    <x:col min="2" max="2" width="38" hidden="0" customWidth="1"/>
    <x:col min="3" max="3" width="20" hidden="0" customWidth="1"/>
    <x:col min="4" max="4" width="60" hidden="0" customWidth="1"/>
    <x:col min="5" max="5" width="20" hidden="0" customWidth="1"/>
    <x:col min="6" max="6" width="20" hidden="0" customWidth="1"/>
    <x:col min="7" max="7" width="20" hidden="0" customWidth="1"/>
    <x:col min="8" max="8" width="29" hidden="0" customWidth="1"/>
    <x:col min="9" max="9" width="48" hidden="0" customWidth="1"/>
  </x:cols>
  <x:sheetData>
    <x:row r="1">
      <x:c r="A1" s="19" t="str">
        <x:v>55  |  IDSP weekly outbreaks</x:v>
      </x:c>
      <x:c r="B1" s="19"/>
      <x:c r="C1" s="19"/>
      <x:c r="D1" s="19"/>
      <x:c r="E1" s="19"/>
      <x:c r="F1" s="19"/>
      <x:c r="G1" s="19"/>
      <x:c r="H1" s="19"/>
      <x:c r="I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4" ht="25" customHeight="1">
      <x:c r="A4" s="9" t="str">
        <x:v>CATEGORY</x:v>
      </x:c>
      <x:c r="B4" s="12" t="str">
        <x:v>Hazards and health</x:v>
      </x:c>
    </x:row>
    <x:row r="5" ht="25" customHeight="1">
      <x:c r="A5" s="9" t="str">
        <x:v>PUBLISHER</x:v>
      </x:c>
      <x:c r="B5" s="12" t="str">
        <x:v>MoHFW / NCDC</x:v>
      </x:c>
    </x:row>
    <x:row r="6" ht="25" customHeight="1">
      <x:c r="A6" s="9" t="str">
        <x:v>ORIGINAL RESOLUTION</x:v>
      </x:c>
      <x:c r="B6" s="12" t="str">
        <x:v>Weekly</x:v>
      </x:c>
    </x:row>
    <x:row r="7" ht="25" customHeight="1">
      <x:c r="A7" s="9" t="str">
        <x:v>CORRELATE WITH</x:v>
      </x:c>
      <x:c r="B7" s="12" t="str">
        <x:v>Rainfall, heat</x:v>
      </x:c>
    </x:row>
    <x:row r="8" ht="31" customHeight="1">
      <x:c r="A8" s="9" t="str">
        <x:v>VERIFIED SOURCE</x:v>
      </x:c>
      <x:c r="B8" s="12" t="str">
        <x:v>https://ncdc.mohfw.gov.in/includes/WeeklyOutbreaks.php</x:v>
      </x:c>
    </x:row>
    <x:row r="9" ht="31" customHeight="1">
      <x:c r="A9" s="9" t="str">
        <x:v>ALTERNATE SOURCE</x:v>
      </x:c>
      <x:c r="B9" s="12" t="str">
        <x:v>https://ncdc.mohfw.gov.in/uploads/weekly_outbreaks/2026/</x:v>
      </x:c>
    </x:row>
    <x:row r="10" ht="31" customHeight="1">
      <x:c r="A10" s="9" t="str">
        <x:v>ACCESS / CAVEAT</x:v>
      </x:c>
      <x:c r="B10" s="12" t="str">
        <x:v>Weekly PDFs online; full weekly district extraction not performed. Annual totals are supplemental.</x:v>
      </x:c>
    </x:row>
    <x:row r="12" ht="26" customHeight="1">
      <x:c r="A12" s="27" t="str">
        <x:v>RELATED SUMMARY — annual outbreak counts, NOT the weekly reports</x:v>
      </x:c>
      <x:c r="B12" s="27"/>
      <x:c r="C12" s="27"/>
      <x:c r="D12" s="27"/>
      <x:c r="E12" s="27"/>
      <x:c r="F12" s="27"/>
      <x:c r="G12" s="27"/>
      <x:c r="H12" s="27"/>
      <x:c r="I12" s="27"/>
    </x:row>
    <x:row r="13" ht="32" customHeight="1">
      <x:c r="A13" s="22" t="str">
        <x:v>year</x:v>
      </x:c>
      <x:c r="B13" s="22" t="str">
        <x:v>geography</x:v>
      </x:c>
      <x:c r="C13" s="22" t="str">
        <x:v>annual_outbreaks</x:v>
      </x:c>
      <x:c r="D13" s="22" t="str">
        <x:v>source_url</x:v>
      </x:c>
    </x:row>
    <x:row r="14" ht="21" customHeight="1">
      <x:c r="A14" t="str">
        <x:v>2020</x:v>
      </x:c>
      <x:c r="B14" t="str">
        <x:v>India</x:v>
      </x:c>
      <x:c r="C14" t="n">
        <x:v>554</x:v>
      </x:c>
      <x:c r="D14" t="str">
        <x:v>https://ncdc.mohfw.gov.in/includes/About/CentresAndDivision/IDSP.php</x:v>
      </x:c>
    </x:row>
    <x:row r="15" ht="21" customHeight="1">
      <x:c r="A15" t="str">
        <x:v>2021</x:v>
      </x:c>
      <x:c r="B15" t="str">
        <x:v>India</x:v>
      </x:c>
      <x:c r="C15" t="n">
        <x:v>728</x:v>
      </x:c>
      <x:c r="D15" t="str">
        <x:v>https://ncdc.mohfw.gov.in/includes/About/CentresAndDivision/IDSP.php</x:v>
      </x:c>
    </x:row>
    <x:row r="16" ht="21" customHeight="1">
      <x:c r="A16" t="str">
        <x:v>2022</x:v>
      </x:c>
      <x:c r="B16" t="str">
        <x:v>India</x:v>
      </x:c>
      <x:c r="C16" t="n">
        <x:v>1027</x:v>
      </x:c>
      <x:c r="D16" t="str">
        <x:v>https://ncdc.mohfw.gov.in/includes/About/CentresAndDivision/IDSP.php</x:v>
      </x:c>
    </x:row>
    <x:row r="17" ht="21" customHeight="1">
      <x:c r="A17" t="str">
        <x:v>2023</x:v>
      </x:c>
      <x:c r="B17" t="str">
        <x:v>India</x:v>
      </x:c>
      <x:c r="C17" t="n">
        <x:v>1862</x:v>
      </x:c>
      <x:c r="D17" t="str">
        <x:v>https://ncdc.mohfw.gov.in/includes/About/CentresAndDivision/IDSP.php</x:v>
      </x:c>
    </x:row>
    <x:row r="18" ht="21" customHeight="1">
      <x:c r="A18" t="str">
        <x:v>2024</x:v>
      </x:c>
      <x:c r="B18" t="str">
        <x:v>India</x:v>
      </x:c>
      <x:c r="C18" t="n">
        <x:v>3020</x:v>
      </x:c>
      <x:c r="D18" t="str">
        <x:v>https://ncdc.mohfw.gov.in/includes/About/CentresAndDivision/IDSP.php</x:v>
      </x:c>
    </x:row>
    <x:row r="19" ht="21" customHeight="1">
      <x:c r="A19" t="str">
        <x:v>2025</x:v>
      </x:c>
      <x:c r="B19" t="str">
        <x:v>India</x:v>
      </x:c>
      <x:c r="C19" t="n">
        <x:v>2285</x:v>
      </x:c>
      <x:c r="D19" t="str">
        <x:v>https://ncdc.mohfw.gov.in/includes/About/CentresAndDivision/IDSP.php</x:v>
      </x:c>
    </x:row>
  </x:sheetData>
  <x:mergeCells>
    <x:mergeCell ref="A1:I2"/>
    <x:mergeCell ref="A12:I12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27" hidden="0" customWidth="1"/>
    <x:col min="2" max="2" width="35" hidden="0" customWidth="1"/>
    <x:col min="3" max="3" width="31" hidden="0" customWidth="1"/>
    <x:col min="4" max="4" width="24" hidden="0" customWidth="1"/>
    <x:col min="5" max="5" width="10" hidden="0" customWidth="1"/>
    <x:col min="6" max="6" width="58" hidden="0" customWidth="1"/>
  </x:cols>
  <x:sheetData>
    <x:row r="1" ht="36" customHeight="1">
      <x:c r="A1" s="32" t="str">
        <x:v>MAHARASHTRA | UPLOADED DATA WORKBOOK</x:v>
      </x:c>
      <x:c r="B1" s="32"/>
      <x:c r="C1" s="32"/>
      <x:c r="D1" s="32"/>
      <x:c r="E1" s="32"/>
      <x:c r="F1" s="32"/>
      <x:c r="G1" s="32"/>
      <x:c r="H1" s="32"/>
    </x:row>
    <x:row r="2" ht="25" customHeight="1">
      <x:c r="A2" s="34" t="str">
        <x:v>Six new data uploads + processed views, kept together with the original 55 dataset source tabs.</x:v>
      </x:c>
      <x:c r="B2" s="34"/>
      <x:c r="C2" s="34"/>
      <x:c r="D2" s="34"/>
      <x:c r="E2" s="34"/>
      <x:c r="F2" s="34"/>
      <x:c r="G2" s="34"/>
      <x:c r="H2" s="34"/>
    </x:row>
    <x:row r="4">
      <x:c r="A4" s="36" t="str">
        <x:v>Uploaded datasets</x:v>
      </x:c>
      <x:c r="B4" s="37" t="n">
        <x:v>6</x:v>
      </x:c>
    </x:row>
    <x:row r="5">
      <x:c r="A5" s="36" t="str">
        <x:v>Uploaded source records</x:v>
      </x:c>
      <x:c r="B5" s="37" t="n">
        <x:v>212</x:v>
      </x:c>
    </x:row>
    <x:row r="6">
      <x:c r="A6" s="36" t="str">
        <x:v>Maharashtra district rows</x:v>
      </x:c>
      <x:c r="B6" s="37" t="n">
        <x:v>36</x:v>
      </x:c>
    </x:row>
    <x:row r="7">
      <x:c r="A7" s="36" t="str">
        <x:v>New source files</x:v>
      </x:c>
      <x:c r="B7" s="37" t="n">
        <x:v>6</x:v>
      </x:c>
    </x:row>
    <x:row r="8">
      <x:c r="A8" s="36" t="str">
        <x:v>Original catalog sheets</x:v>
      </x:c>
      <x:c r="B8" s="37" t="n">
        <x:v>55</x:v>
      </x:c>
    </x:row>
    <x:row r="11" ht="32" customHeight="1">
      <x:c r="A11" s="41" t="str">
        <x:v>TAB NAME</x:v>
      </x:c>
      <x:c r="B11" s="41" t="str">
        <x:v>SOURCE FILE</x:v>
      </x:c>
      <x:c r="C11" s="41" t="str">
        <x:v>GEOGRAPHIC LEVEL</x:v>
      </x:c>
      <x:c r="D11" s="41" t="str">
        <x:v>PERIOD</x:v>
      </x:c>
      <x:c r="E11" s="41" t="str">
        <x:v>ROWS</x:v>
      </x:c>
      <x:c r="F11" s="41" t="str">
        <x:v>MATCH TO ORIGINAL 55</x:v>
      </x:c>
    </x:row>
    <x:row r="12">
      <x:c r="A12" t="str">
        <x:v>DATA Health Facilities</x:v>
      </x:c>
      <x:c r="B12" t="str">
        <x:v>df.csv</x:v>
      </x:c>
      <x:c r="C12" t="str">
        <x:v>District + division/state totals</x:v>
      </x:c>
      <x:c r="D12" t="str">
        <x:v>Year not specified</x:v>
      </x:c>
      <x:c r="E12" t="n">
        <x:v>42</x:v>
      </x:c>
      <x:c r="F12" t="str">
        <x:v>Linked context to #54; NOT the HMIS monthly dataset</x:v>
      </x:c>
    </x:row>
    <x:row r="13">
      <x:c r="A13" t="str">
        <x:v>DATA Industry MPCB</x:v>
      </x:c>
      <x:c r="B13" t="str">
        <x:v>ikbu.csv</x:v>
      </x:c>
      <x:c r="C13" t="str">
        <x:v>MPCB regions + state total</x:v>
      </x:c>
      <x:c r="D13" t="str">
        <x:v>Year not specified</x:v>
      </x:c>
      <x:c r="E13" t="n">
        <x:v>13</x:v>
      </x:c>
      <x:c r="F13" t="str">
        <x:v>Environmental industrial classifications; no direct equivalent among the 55</x:v>
      </x:c>
    </x:row>
    <x:row r="14">
      <x:c r="A14" t="str">
        <x:v>DATA Vehicle Categories</x:v>
      </x:c>
      <x:c r="B14" t="str">
        <x:v>ukjg.csv</x:v>
      </x:c>
      <x:c r="C14" t="str">
        <x:v>Transport offices + region totals</x:v>
      </x:c>
      <x:c r="D14" t="str">
        <x:v>Year not specified</x:v>
      </x:c>
      <x:c r="E14" t="n">
        <x:v>63</x:v>
      </x:c>
      <x:c r="F14" t="str">
        <x:v>Related to #37/#39; NOT monthly VAHAN registrations</x:v>
      </x:c>
    </x:row>
    <x:row r="15">
      <x:c r="A15" t="str">
        <x:v>DATA Airport Traffic</x:v>
      </x:c>
      <x:c r="B15" t="str">
        <x:v>ujln.csv</x:v>
      </x:c>
      <x:c r="C15" t="str">
        <x:v>Airport + domestic/international subtotal</x:v>
      </x:c>
      <x:c r="D15" t="str">
        <x:v>FY 2022-23 / FY 2023-24</x:v>
      </x:c>
      <x:c r="E15" t="n">
        <x:v>22</x:v>
      </x:c>
      <x:c r="F15" t="str">
        <x:v>Related to #41; annual figures, not monthly AAI data</x:v>
      </x:c>
    </x:row>
    <x:row r="16">
      <x:c r="A16" t="str">
        <x:v>DATA District Indicators</x:v>
      </x:c>
      <x:c r="B16" t="str">
        <x:v>jv.csv</x:v>
      </x:c>
      <x:c r="C16" t="str">
        <x:v>Maharashtra district</x:v>
      </x:c>
      <x:c r="D16" t="str">
        <x:v>Mixed/unspecified dates</x:v>
      </x:c>
      <x:c r="E16" t="n">
        <x:v>37</x:v>
      </x:c>
      <x:c r="F16" t="str">
        <x:v>Context to #43/#48; not the exact published series</x:v>
      </x:c>
    </x:row>
    <x:row r="17">
      <x:c r="A17" t="str">
        <x:v>DATA Census Wide</x:v>
      </x:c>
      <x:c r="B17" t="str">
        <x:v>Population &amp; Population Density, Sex Ratio, Literacy Rate For The Year 1991, 2001 &amp; 2011.xls</x:v>
      </x:c>
      <x:c r="C17" t="str">
        <x:v>Maharashtra district (historical boundaries)</x:v>
      </x:c>
      <x:c r="D17" t="str">
        <x:v>1991 / 2001 / 2011</x:v>
      </x:c>
      <x:c r="E17" t="n">
        <x:v>35</x:v>
      </x:c>
      <x:c r="F17" t="str">
        <x:v>Related to #42, Maharashtra extract only</x:v>
      </x:c>
    </x:row>
    <x:row r="20" ht="32" customHeight="1">
      <x:c r="A20" s="41" t="str">
        <x:v>PROCESSED VIEW</x:v>
      </x:c>
      <x:c r="B20" s="41" t="str">
        <x:v>PURPOSE</x:v>
      </x:c>
    </x:row>
    <x:row r="21">
      <x:c r="A21" t="str">
        <x:v>DISTRICT Master</x:v>
      </x:c>
      <x:c r="B21" t="str">
        <x:v>District-level joined table for analysis (matching only reliable district entities).</x:v>
      </x:c>
    </x:row>
    <x:row r="22">
      <x:c r="A22" t="str">
        <x:v>CENSUS Yearly</x:v>
      </x:c>
      <x:c r="B22" t="str">
        <x:v>Tidy year-per-district table suitable for time-series charts.</x:v>
      </x:c>
    </x:row>
    <x:row r="23">
      <x:c r="A23" t="str">
        <x:v>QUALITY &amp; MATCHING</x:v>
      </x:c>
      <x:c r="B23" t="str">
        <x:v>Documented missing values, renamed districts and unsafe joins.</x:v>
      </x:c>
    </x:row>
    <x:row r="24">
      <x:c r="A24" t="str">
        <x:v>DATA * sheets</x:v>
      </x:c>
      <x:c r="B24" t="str">
        <x:v>User uploads converted to numeric data with row-type markers.</x:v>
      </x:c>
    </x:row>
    <x:row r="25">
      <x:c r="A25" t="str">
        <x:v>01–55 numbered sheets</x:v>
      </x:c>
      <x:c r="B25" t="str">
        <x:v>Original research source register; not replaced by these uploads.</x:v>
      </x:c>
    </x:row>
    <x:row r="26">
      <x:c r="A26" t="str">
        <x:v>INDEX / README</x:v>
      </x:c>
      <x:c r="B26" t="str">
        <x:v>Original 55-source index and acquisition notes, now updated for uploads.</x:v>
      </x:c>
    </x:row>
    <x:row r="28" ht="36" customHeight="1">
      <x:c r="A28" s="44" t="str">
        <x:v>IMPORTANT: These six Maharashtra uploads are not substitutes for the 55 nationwide datasets. Reference years and geographic coverage differ.</x:v>
      </x:c>
      <x:c r="B28" s="44"/>
      <x:c r="C28" s="44"/>
      <x:c r="D28" s="44"/>
      <x:c r="E28" s="44"/>
      <x:c r="F28" s="44"/>
    </x:row>
  </x:sheetData>
  <x:mergeCells>
    <x:mergeCell ref="A1:H1"/>
    <x:mergeCell ref="A2:H2"/>
    <x:mergeCell ref="A28:F28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8" hidden="0" customWidth="1"/>
  </x:cols>
  <x:sheetData>
    <x:row r="1" ht="36" customHeight="1">
      <x:c r="A1" s="32" t="str">
        <x:v>District health facility counts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25" customHeight="1">
      <x:c r="A2" s="34" t="str">
        <x:v>Source file: df.csv    |    User-supplied upload    |    Cleaned numeric fields; source labels preserved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26" customHeight="1">
      <x:c r="A3" s="46" t="str">
        <x:v>Division and state subtotals are marked; Brihan Mumbai covers two districts. Dash (-) is missing, not zero.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</x:row>
    <x:row r="5" ht="32" customHeight="1">
      <x:c r="A5" s="41" t="str">
        <x:v>District (source)</x:v>
      </x:c>
      <x:c r="B5" s="41" t="str">
        <x:v>District (standard)</x:v>
      </x:c>
      <x:c r="C5" s="41" t="str">
        <x:v>Row type</x:v>
      </x:c>
      <x:c r="D5" s="41" t="str">
        <x:v>Sub-Centres</x:v>
      </x:c>
      <x:c r="E5" s="41" t="str">
        <x:v>Primary Health Centres</x:v>
      </x:c>
      <x:c r="F5" s="41" t="str">
        <x:v>Dispensaries</x:v>
      </x:c>
      <x:c r="G5" s="41" t="str">
        <x:v>Sub-District Hospitals</x:v>
      </x:c>
      <x:c r="H5" s="41" t="str">
        <x:v>District Hospitals</x:v>
      </x:c>
      <x:c r="I5" s="41" t="str">
        <x:v>General Hospitals</x:v>
      </x:c>
      <x:c r="J5" s="41" t="str">
        <x:v>Women Hospitals</x:v>
      </x:c>
      <x:c r="K5" s="41" t="str">
        <x:v>Rural Hospitals</x:v>
      </x:c>
      <x:c r="L5" s="41" t="str">
        <x:v>Notes</x:v>
      </x:c>
    </x:row>
    <x:row r="6">
      <x:c r="A6" t="str">
        <x:v>Brihan Mumbai</x:v>
      </x:c>
      <x:c r="B6" t="str">
        <x:v>Mumbai (combined)</x:v>
      </x:c>
      <x:c r="C6" t="str">
        <x:v>District / combined district</x:v>
      </x:c>
      <x:c r="D6"/>
      <x:c r="E6"/>
      <x:c r="F6"/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str">
        <x:v>Mumbai City and Suburban combined; do not assign to either district; - = not reported, not zero</x:v>
      </x:c>
    </x:row>
    <x:row r="7">
      <x:c r="A7" t="str">
        <x:v>Thane</x:v>
      </x:c>
      <x:c r="B7" t="str">
        <x:v>Thane</x:v>
      </x:c>
      <x:c r="C7" t="str">
        <x:v>District / combined district</x:v>
      </x:c>
      <x:c r="D7" t="n">
        <x:v>191</x:v>
      </x:c>
      <x:c r="E7" t="n">
        <x:v>33</x:v>
      </x:c>
      <x:c r="F7" t="n">
        <x:v>9</x:v>
      </x:c>
      <x:c r="G7" t="n">
        <x:v>3</x:v>
      </x:c>
      <x:c r="H7" t="n">
        <x:v>1</x:v>
      </x:c>
      <x:c r="I7" t="n">
        <x:v>2</x:v>
      </x:c>
      <x:c r="J7" t="n">
        <x:v>1</x:v>
      </x:c>
      <x:c r="K7" t="n">
        <x:v>6</x:v>
      </x:c>
      <x:c r="L7" t="str"/>
    </x:row>
    <x:row r="8">
      <x:c r="A8" t="str">
        <x:v>Palghar</x:v>
      </x:c>
      <x:c r="B8" t="str">
        <x:v>Palghar</x:v>
      </x:c>
      <x:c r="C8" t="str">
        <x:v>District / combined district</x:v>
      </x:c>
      <x:c r="D8" t="n">
        <x:v>315</x:v>
      </x:c>
      <x:c r="E8" t="n">
        <x:v>46</x:v>
      </x:c>
      <x:c r="F8" t="n">
        <x:v>34</x:v>
      </x:c>
      <x:c r="G8" t="n">
        <x:v>3</x:v>
      </x:c>
      <x:c r="H8" t="n">
        <x:v>0</x:v>
      </x:c>
      <x:c r="I8" t="n">
        <x:v>0</x:v>
      </x:c>
      <x:c r="J8" t="n">
        <x:v>0</x:v>
      </x:c>
      <x:c r="K8" t="n">
        <x:v>9</x:v>
      </x:c>
      <x:c r="L8" t="str"/>
    </x:row>
    <x:row r="9">
      <x:c r="A9" t="str">
        <x:v>Raigad</x:v>
      </x:c>
      <x:c r="B9" t="str">
        <x:v>Raigad</x:v>
      </x:c>
      <x:c r="C9" t="str">
        <x:v>District / combined district</x:v>
      </x:c>
      <x:c r="D9" t="n">
        <x:v>288</x:v>
      </x:c>
      <x:c r="E9" t="n">
        <x:v>55</x:v>
      </x:c>
      <x:c r="F9" t="n">
        <x:v>11</x:v>
      </x:c>
      <x:c r="G9" t="n">
        <x:v>6</x:v>
      </x:c>
      <x:c r="H9" t="n">
        <x:v>1</x:v>
      </x:c>
      <x:c r="I9" t="n">
        <x:v>0</x:v>
      </x:c>
      <x:c r="J9" t="n">
        <x:v>0</x:v>
      </x:c>
      <x:c r="K9" t="n">
        <x:v>9</x:v>
      </x:c>
      <x:c r="L9" t="str"/>
    </x:row>
    <x:row r="10">
      <x:c r="A10" t="str">
        <x:v>Ratnagiri</x:v>
      </x:c>
      <x:c r="B10" t="str">
        <x:v>Ratnagiri</x:v>
      </x:c>
      <x:c r="C10" t="str">
        <x:v>District / combined district</x:v>
      </x:c>
      <x:c r="D10" t="n">
        <x:v>378</x:v>
      </x:c>
      <x:c r="E10" t="n">
        <x:v>68</x:v>
      </x:c>
      <x:c r="F10" t="n">
        <x:v>0</x:v>
      </x:c>
      <x:c r="G10" t="n">
        <x:v>3</x:v>
      </x:c>
      <x:c r="H10" t="n">
        <x:v>0</x:v>
      </x:c>
      <x:c r="I10" t="n">
        <x:v>0</x:v>
      </x:c>
      <x:c r="J10" t="n">
        <x:v>1</x:v>
      </x:c>
      <x:c r="K10" t="n">
        <x:v>8</x:v>
      </x:c>
      <x:c r="L10" t="str"/>
    </x:row>
    <x:row r="11">
      <x:c r="A11" t="str">
        <x:v>Sindhudurg</x:v>
      </x:c>
      <x:c r="B11" t="str">
        <x:v>Sindhudurg</x:v>
      </x:c>
      <x:c r="C11" t="str">
        <x:v>District / combined district</x:v>
      </x:c>
      <x:c r="D11" t="n">
        <x:v>248</x:v>
      </x:c>
      <x:c r="E11" t="n">
        <x:v>38</x:v>
      </x:c>
      <x:c r="F11" t="n">
        <x:v>10</x:v>
      </x:c>
      <x:c r="G11" t="n">
        <x:v>4</x:v>
      </x:c>
      <x:c r="H11" t="n">
        <x:v>0</x:v>
      </x:c>
      <x:c r="I11" t="n">
        <x:v>0</x:v>
      </x:c>
      <x:c r="J11" t="n">
        <x:v>1</x:v>
      </x:c>
      <x:c r="K11" t="n">
        <x:v>6</x:v>
      </x:c>
      <x:c r="L11" t="str"/>
    </x:row>
    <x:row r="12">
      <x:c r="A12" t="str">
        <x:v>Konkan Division</x:v>
      </x:c>
      <x:c r="B12" t="str">
        <x:v>Konkan Division</x:v>
      </x:c>
      <x:c r="C12" t="str">
        <x:v>Division subtotal</x:v>
      </x:c>
      <x:c r="D12" t="n">
        <x:v>1420</x:v>
      </x:c>
      <x:c r="E12" t="n">
        <x:v>240</x:v>
      </x:c>
      <x:c r="F12" t="n">
        <x:v>64</x:v>
      </x:c>
      <x:c r="G12" t="n">
        <x:v>19</x:v>
      </x:c>
      <x:c r="H12" t="n">
        <x:v>2</x:v>
      </x:c>
      <x:c r="I12" t="n">
        <x:v>3</x:v>
      </x:c>
      <x:c r="J12" t="n">
        <x:v>3</x:v>
      </x:c>
      <x:c r="K12" t="n">
        <x:v>38</x:v>
      </x:c>
      <x:c r="L12" t="str"/>
    </x:row>
    <x:row r="13">
      <x:c r="A13" t="str">
        <x:v>Nashik</x:v>
      </x:c>
      <x:c r="B13" t="str">
        <x:v>Nashik</x:v>
      </x:c>
      <x:c r="C13" t="str">
        <x:v>District / combined district</x:v>
      </x:c>
      <x:c r="D13" t="n">
        <x:v>592</x:v>
      </x:c>
      <x:c r="E13" t="n">
        <x:v>112</x:v>
      </x:c>
      <x:c r="F13" t="n">
        <x:v>31</x:v>
      </x:c>
      <x:c r="G13" t="n">
        <x:v>6</x:v>
      </x:c>
      <x:c r="H13" t="n">
        <x:v>1</x:v>
      </x:c>
      <x:c r="I13" t="n">
        <x:v>1</x:v>
      </x:c>
      <x:c r="J13" t="n">
        <x:v>1</x:v>
      </x:c>
      <x:c r="K13" t="n">
        <x:v>23</x:v>
      </x:c>
      <x:c r="L13" t="str"/>
    </x:row>
    <x:row r="14">
      <x:c r="A14" t="str">
        <x:v>Dhule</x:v>
      </x:c>
      <x:c r="B14" t="str">
        <x:v>Dhule</x:v>
      </x:c>
      <x:c r="C14" t="str">
        <x:v>District / combined district</x:v>
      </x:c>
      <x:c r="D14" t="n">
        <x:v>232</x:v>
      </x:c>
      <x:c r="E14" t="n">
        <x:v>41</x:v>
      </x:c>
      <x:c r="F14" t="n">
        <x:v>15</x:v>
      </x:c>
      <x:c r="G14" t="n">
        <x:v>2</x:v>
      </x:c>
      <x:c r="H14" t="n">
        <x:v>1</x:v>
      </x:c>
      <x:c r="I14" t="n">
        <x:v>0</x:v>
      </x:c>
      <x:c r="J14" t="n">
        <x:v>1</x:v>
      </x:c>
      <x:c r="K14" t="n">
        <x:v>6</x:v>
      </x:c>
      <x:c r="L14" t="str"/>
    </x:row>
    <x:row r="15">
      <x:c r="A15" t="str">
        <x:v>Nandurbar</x:v>
      </x:c>
      <x:c r="B15" t="str">
        <x:v>Nandurbar</x:v>
      </x:c>
      <x:c r="C15" t="str">
        <x:v>District / combined district</x:v>
      </x:c>
      <x:c r="D15" t="n">
        <x:v>293</x:v>
      </x:c>
      <x:c r="E15" t="n">
        <x:v>61</x:v>
      </x:c>
      <x:c r="F15" t="n">
        <x:v>19</x:v>
      </x:c>
      <x:c r="G15" t="n">
        <x:v>2</x:v>
      </x:c>
      <x:c r="H15" t="n">
        <x:v>0</x:v>
      </x:c>
      <x:c r="I15" t="n">
        <x:v>0</x:v>
      </x:c>
      <x:c r="J15" t="n">
        <x:v>1</x:v>
      </x:c>
      <x:c r="K15" t="n">
        <x:v>12</x:v>
      </x:c>
      <x:c r="L15" t="str"/>
    </x:row>
    <x:row r="16">
      <x:c r="A16" t="str">
        <x:v>Jalgaon</x:v>
      </x:c>
      <x:c r="B16" t="str">
        <x:v>Jalgaon</x:v>
      </x:c>
      <x:c r="C16" t="str">
        <x:v>District / combined district</x:v>
      </x:c>
      <x:c r="D16" t="n">
        <x:v>443</x:v>
      </x:c>
      <x:c r="E16" t="n">
        <x:v>78</x:v>
      </x:c>
      <x:c r="F16" t="n">
        <x:v>20</x:v>
      </x:c>
      <x:c r="G16" t="n">
        <x:v>3</x:v>
      </x:c>
      <x:c r="H16" t="n">
        <x:v>0</x:v>
      </x:c>
      <x:c r="I16" t="n">
        <x:v>0</x:v>
      </x:c>
      <x:c r="J16" t="n">
        <x:v>1</x:v>
      </x:c>
      <x:c r="K16" t="n">
        <x:v>19</x:v>
      </x:c>
      <x:c r="L16" t="str"/>
    </x:row>
    <x:row r="17">
      <x:c r="A17" t="str">
        <x:v>Ahilyanagar</x:v>
      </x:c>
      <x:c r="B17" t="str">
        <x:v>Ahilyanagar</x:v>
      </x:c>
      <x:c r="C17" t="str">
        <x:v>District / combined district</x:v>
      </x:c>
      <x:c r="D17" t="n">
        <x:v>565</x:v>
      </x:c>
      <x:c r="E17" t="n">
        <x:v>98</x:v>
      </x:c>
      <x:c r="F17" t="n">
        <x:v>9</x:v>
      </x:c>
      <x:c r="G17" t="n">
        <x:v>3</x:v>
      </x:c>
      <x:c r="H17" t="n">
        <x:v>1</x:v>
      </x:c>
      <x:c r="I17" t="n">
        <x:v>0</x:v>
      </x:c>
      <x:c r="J17" t="n">
        <x:v>0</x:v>
      </x:c>
      <x:c r="K17" t="n">
        <x:v>22</x:v>
      </x:c>
      <x:c r="L17" t="str"/>
    </x:row>
    <x:row r="18">
      <x:c r="A18" t="str">
        <x:v>Nashik Division</x:v>
      </x:c>
      <x:c r="B18" t="str">
        <x:v>Nashik Division</x:v>
      </x:c>
      <x:c r="C18" t="str">
        <x:v>Division subtotal</x:v>
      </x:c>
      <x:c r="D18" t="n">
        <x:v>2125</x:v>
      </x:c>
      <x:c r="E18" t="n">
        <x:v>390</x:v>
      </x:c>
      <x:c r="F18" t="n">
        <x:v>94</x:v>
      </x:c>
      <x:c r="G18" t="n">
        <x:v>16</x:v>
      </x:c>
      <x:c r="H18" t="n">
        <x:v>3</x:v>
      </x:c>
      <x:c r="I18" t="n">
        <x:v>1</x:v>
      </x:c>
      <x:c r="J18" t="n">
        <x:v>4</x:v>
      </x:c>
      <x:c r="K18" t="n">
        <x:v>82</x:v>
      </x:c>
      <x:c r="L18" t="str"/>
    </x:row>
    <x:row r="19">
      <x:c r="A19" t="str">
        <x:v>Pune</x:v>
      </x:c>
      <x:c r="B19" t="str">
        <x:v>Pune</x:v>
      </x:c>
      <x:c r="C19" t="str">
        <x:v>District / combined district</x:v>
      </x:c>
      <x:c r="D19" t="n">
        <x:v>543</x:v>
      </x:c>
      <x:c r="E19" t="n">
        <x:v>108</x:v>
      </x:c>
      <x:c r="F19" t="n">
        <x:v>33</x:v>
      </x:c>
      <x:c r="G19" t="n">
        <x:v>6</x:v>
      </x:c>
      <x:c r="H19" t="n">
        <x:v>1</x:v>
      </x:c>
      <x:c r="I19" t="n">
        <x:v>0</x:v>
      </x:c>
      <x:c r="J19" t="n">
        <x:v>1</x:v>
      </x:c>
      <x:c r="K19" t="n">
        <x:v>23</x:v>
      </x:c>
      <x:c r="L19" t="str"/>
    </x:row>
    <x:row r="20">
      <x:c r="A20" t="str">
        <x:v>Satara</x:v>
      </x:c>
      <x:c r="B20" t="str">
        <x:v>Satara</x:v>
      </x:c>
      <x:c r="C20" t="str">
        <x:v>District / combined district</x:v>
      </x:c>
      <x:c r="D20" t="n">
        <x:v>414</x:v>
      </x:c>
      <x:c r="E20" t="n">
        <x:v>84</x:v>
      </x:c>
      <x:c r="F20" t="n">
        <x:v>26</x:v>
      </x:c>
      <x:c r="G20" t="n">
        <x:v>3</x:v>
      </x:c>
      <x:c r="H20" t="n">
        <x:v>1</x:v>
      </x:c>
      <x:c r="I20" t="n">
        <x:v>0</x:v>
      </x:c>
      <x:c r="J20" t="n">
        <x:v>0</x:v>
      </x:c>
      <x:c r="K20" t="n">
        <x:v>15</x:v>
      </x:c>
      <x:c r="L20" t="str"/>
    </x:row>
    <x:row r="21">
      <x:c r="A21" t="str">
        <x:v>Sangli</x:v>
      </x:c>
      <x:c r="B21" t="str">
        <x:v>Sangli</x:v>
      </x:c>
      <x:c r="C21" t="str">
        <x:v>District / combined district</x:v>
      </x:c>
      <x:c r="D21" t="n">
        <x:v>357</x:v>
      </x:c>
      <x:c r="E21" t="n">
        <x:v>69</x:v>
      </x:c>
      <x:c r="F21" t="n">
        <x:v>17</x:v>
      </x:c>
      <x:c r="G21" t="n">
        <x:v>3</x:v>
      </x:c>
      <x:c r="H21" t="n">
        <x:v>0</x:v>
      </x:c>
      <x:c r="I21" t="n">
        <x:v>0</x:v>
      </x:c>
      <x:c r="J21" t="n">
        <x:v>0</x:v>
      </x:c>
      <x:c r="K21" t="n">
        <x:v>12</x:v>
      </x:c>
      <x:c r="L21" t="str"/>
    </x:row>
    <x:row r="22">
      <x:c r="A22" t="str">
        <x:v>Solapur</x:v>
      </x:c>
      <x:c r="B22" t="str">
        <x:v>Solapur</x:v>
      </x:c>
      <x:c r="C22" t="str">
        <x:v>District / combined district</x:v>
      </x:c>
      <x:c r="D22" t="n">
        <x:v>434</x:v>
      </x:c>
      <x:c r="E22" t="n">
        <x:v>77</x:v>
      </x:c>
      <x:c r="F22" t="n">
        <x:v>6</x:v>
      </x:c>
      <x:c r="G22" t="n">
        <x:v>3</x:v>
      </x:c>
      <x:c r="H22" t="n">
        <x:v>1</x:v>
      </x:c>
      <x:c r="I22" t="n">
        <x:v>0</x:v>
      </x:c>
      <x:c r="J22" t="n">
        <x:v>1</x:v>
      </x:c>
      <x:c r="K22" t="n">
        <x:v>16</x:v>
      </x:c>
      <x:c r="L22" t="str"/>
    </x:row>
    <x:row r="23">
      <x:c r="A23" t="str">
        <x:v>Kolhapur</x:v>
      </x:c>
      <x:c r="B23" t="str">
        <x:v>Kolhapur</x:v>
      </x:c>
      <x:c r="C23" t="str">
        <x:v>District / combined district</x:v>
      </x:c>
      <x:c r="D23" t="n">
        <x:v>413</x:v>
      </x:c>
      <x:c r="E23" t="n">
        <x:v>82</x:v>
      </x:c>
      <x:c r="F23" t="n">
        <x:v>29</x:v>
      </x:c>
      <x:c r="G23" t="n">
        <x:v>5</x:v>
      </x:c>
      <x:c r="H23" t="n">
        <x:v>0</x:v>
      </x:c>
      <x:c r="I23" t="n">
        <x:v>1</x:v>
      </x:c>
      <x:c r="J23" t="n">
        <x:v>0</x:v>
      </x:c>
      <x:c r="K23" t="n">
        <x:v>15</x:v>
      </x:c>
      <x:c r="L23" t="str"/>
    </x:row>
    <x:row r="24">
      <x:c r="A24" t="str">
        <x:v>Pune Division</x:v>
      </x:c>
      <x:c r="B24" t="str">
        <x:v>Pune Division</x:v>
      </x:c>
      <x:c r="C24" t="str">
        <x:v>Division subtotal</x:v>
      </x:c>
      <x:c r="D24" t="n">
        <x:v>2161</x:v>
      </x:c>
      <x:c r="E24" t="n">
        <x:v>420</x:v>
      </x:c>
      <x:c r="F24" t="n">
        <x:v>111</x:v>
      </x:c>
      <x:c r="G24" t="n">
        <x:v>20</x:v>
      </x:c>
      <x:c r="H24" t="n">
        <x:v>3</x:v>
      </x:c>
      <x:c r="I24" t="n">
        <x:v>1</x:v>
      </x:c>
      <x:c r="J24" t="n">
        <x:v>2</x:v>
      </x:c>
      <x:c r="K24" t="n">
        <x:v>81</x:v>
      </x:c>
      <x:c r="L24" t="str"/>
    </x:row>
    <x:row r="25">
      <x:c r="A25" t="str">
        <x:v>Chhatrapati Sambhajinagar</x:v>
      </x:c>
      <x:c r="B25" t="str">
        <x:v>Chhatrapati Sambhajinagar</x:v>
      </x:c>
      <x:c r="C25" t="str">
        <x:v>District / combined district</x:v>
      </x:c>
      <x:c r="D25" t="n">
        <x:v>279</x:v>
      </x:c>
      <x:c r="E25" t="n">
        <x:v>53</x:v>
      </x:c>
      <x:c r="F25" t="n">
        <x:v>12</x:v>
      </x:c>
      <x:c r="G25" t="n">
        <x:v>3</x:v>
      </x:c>
      <x:c r="H25" t="n">
        <x:v>1</x:v>
      </x:c>
      <x:c r="I25" t="n">
        <x:v>0</x:v>
      </x:c>
      <x:c r="J25" t="n">
        <x:v>0</x:v>
      </x:c>
      <x:c r="K25" t="n">
        <x:v>10</x:v>
      </x:c>
      <x:c r="L25" t="str"/>
    </x:row>
    <x:row r="26">
      <x:c r="A26" t="str">
        <x:v>Jalna</x:v>
      </x:c>
      <x:c r="B26" t="str">
        <x:v>Jalna</x:v>
      </x:c>
      <x:c r="C26" t="str">
        <x:v>District / combined district</x:v>
      </x:c>
      <x:c r="D26" t="n">
        <x:v>223</x:v>
      </x:c>
      <x:c r="E26" t="n">
        <x:v>44</x:v>
      </x:c>
      <x:c r="F26" t="n">
        <x:v>9</x:v>
      </x:c>
      <x:c r="G26" t="n">
        <x:v>1</x:v>
      </x:c>
      <x:c r="H26" t="n">
        <x:v>1</x:v>
      </x:c>
      <x:c r="I26" t="n">
        <x:v>1</x:v>
      </x:c>
      <x:c r="J26" t="n">
        <x:v>0</x:v>
      </x:c>
      <x:c r="K26" t="n">
        <x:v>9</x:v>
      </x:c>
      <x:c r="L26" t="str"/>
    </x:row>
    <x:row r="27">
      <x:c r="A27" t="str">
        <x:v>Parbhani</x:v>
      </x:c>
      <x:c r="B27" t="str">
        <x:v>Parbhani</x:v>
      </x:c>
      <x:c r="C27" t="str">
        <x:v>District / combined district</x:v>
      </x:c>
      <x:c r="D27" t="n">
        <x:v>215</x:v>
      </x:c>
      <x:c r="E27" t="n">
        <x:v>37</x:v>
      </x:c>
      <x:c r="F27" t="n">
        <x:v>11</x:v>
      </x:c>
      <x:c r="G27" t="n">
        <x:v>2</x:v>
      </x:c>
      <x:c r="H27" t="n">
        <x:v>0</x:v>
      </x:c>
      <x:c r="I27" t="n">
        <x:v>0</x:v>
      </x:c>
      <x:c r="J27" t="n">
        <x:v>0</x:v>
      </x:c>
      <x:c r="K27" t="n">
        <x:v>7</x:v>
      </x:c>
      <x:c r="L27" t="str"/>
    </x:row>
    <x:row r="28">
      <x:c r="A28" t="str">
        <x:v>Hingoli</x:v>
      </x:c>
      <x:c r="B28" t="str">
        <x:v>Hingoli</x:v>
      </x:c>
      <x:c r="C28" t="str">
        <x:v>District / combined district</x:v>
      </x:c>
      <x:c r="D28" t="n">
        <x:v>139</x:v>
      </x:c>
      <x:c r="E28" t="n">
        <x:v>24</x:v>
      </x:c>
      <x:c r="F28" t="n">
        <x:v>8</x:v>
      </x:c>
      <x:c r="G28" t="n">
        <x:v>2</x:v>
      </x:c>
      <x:c r="H28" t="n">
        <x:v>1</x:v>
      </x:c>
      <x:c r="I28" t="n">
        <x:v>0</x:v>
      </x:c>
      <x:c r="J28" t="n">
        <x:v>1</x:v>
      </x:c>
      <x:c r="K28" t="n">
        <x:v>3</x:v>
      </x:c>
      <x:c r="L28" t="str"/>
    </x:row>
    <x:row r="29">
      <x:c r="A29" t="str">
        <x:v>Beed</x:v>
      </x:c>
      <x:c r="B29" t="str">
        <x:v>Beed</x:v>
      </x:c>
      <x:c r="C29" t="str">
        <x:v>District / combined district</x:v>
      </x:c>
      <x:c r="D29" t="n">
        <x:v>296</x:v>
      </x:c>
      <x:c r="E29" t="n">
        <x:v>56</x:v>
      </x:c>
      <x:c r="F29" t="n">
        <x:v>21</x:v>
      </x:c>
      <x:c r="G29" t="n">
        <x:v>3</x:v>
      </x:c>
      <x:c r="H29" t="n">
        <x:v>1</x:v>
      </x:c>
      <x:c r="I29" t="n">
        <x:v>0</x:v>
      </x:c>
      <x:c r="J29" t="n">
        <x:v>2</x:v>
      </x:c>
      <x:c r="K29" t="n">
        <x:v>11</x:v>
      </x:c>
      <x:c r="L29" t="str"/>
    </x:row>
    <x:row r="30">
      <x:c r="A30" t="str">
        <x:v>Nanded</x:v>
      </x:c>
      <x:c r="B30" t="str">
        <x:v>Nanded</x:v>
      </x:c>
      <x:c r="C30" t="str">
        <x:v>District / combined district</x:v>
      </x:c>
      <x:c r="D30" t="n">
        <x:v>383</x:v>
      </x:c>
      <x:c r="E30" t="n">
        <x:v>70</x:v>
      </x:c>
      <x:c r="F30" t="n">
        <x:v>19</x:v>
      </x:c>
      <x:c r="G30" t="n">
        <x:v>6</x:v>
      </x:c>
      <x:c r="H30" t="n">
        <x:v>1</x:v>
      </x:c>
      <x:c r="I30" t="n">
        <x:v>0</x:v>
      </x:c>
      <x:c r="J30" t="n">
        <x:v>1</x:v>
      </x:c>
      <x:c r="K30" t="n">
        <x:v>12</x:v>
      </x:c>
      <x:c r="L30" t="str"/>
    </x:row>
    <x:row r="31">
      <x:c r="A31" t="str">
        <x:v>Dharashiv</x:v>
      </x:c>
      <x:c r="B31" t="str">
        <x:v>Dharashiv</x:v>
      </x:c>
      <x:c r="C31" t="str">
        <x:v>District / combined district</x:v>
      </x:c>
      <x:c r="D31" t="n">
        <x:v>216</x:v>
      </x:c>
      <x:c r="E31" t="n">
        <x:v>45</x:v>
      </x:c>
      <x:c r="F31" t="n">
        <x:v>10</x:v>
      </x:c>
      <x:c r="G31" t="n">
        <x:v>5</x:v>
      </x:c>
      <x:c r="H31" t="n">
        <x:v>0</x:v>
      </x:c>
      <x:c r="I31" t="n">
        <x:v>0</x:v>
      </x:c>
      <x:c r="J31" t="n">
        <x:v>0</x:v>
      </x:c>
      <x:c r="K31" t="n">
        <x:v>7</x:v>
      </x:c>
      <x:c r="L31" t="str"/>
    </x:row>
    <x:row r="32">
      <x:c r="A32" t="str">
        <x:v>Latur</x:v>
      </x:c>
      <x:c r="B32" t="str">
        <x:v>Latur</x:v>
      </x:c>
      <x:c r="C32" t="str">
        <x:v>District / combined district</x:v>
      </x:c>
      <x:c r="D32" t="n">
        <x:v>252</x:v>
      </x:c>
      <x:c r="E32" t="n">
        <x:v>51</x:v>
      </x:c>
      <x:c r="F32" t="n">
        <x:v>8</x:v>
      </x:c>
      <x:c r="G32" t="n">
        <x:v>1</x:v>
      </x:c>
      <x:c r="H32" t="n">
        <x:v>0</x:v>
      </x:c>
      <x:c r="I32" t="n">
        <x:v>1</x:v>
      </x:c>
      <x:c r="J32" t="n">
        <x:v>1</x:v>
      </x:c>
      <x:c r="K32" t="n">
        <x:v>11</x:v>
      </x:c>
      <x:c r="L32" t="str"/>
    </x:row>
    <x:row r="33">
      <x:c r="A33" t="str">
        <x:v>Chhatrapati Sambhajinagar Division</x:v>
      </x:c>
      <x:c r="B33" t="str">
        <x:v>Chhatrapati Sambhajinagar Division</x:v>
      </x:c>
      <x:c r="C33" t="str">
        <x:v>Division subtotal</x:v>
      </x:c>
      <x:c r="D33" t="n">
        <x:v>2003</x:v>
      </x:c>
      <x:c r="E33" t="n">
        <x:v>380</x:v>
      </x:c>
      <x:c r="F33" t="n">
        <x:v>98</x:v>
      </x:c>
      <x:c r="G33" t="n">
        <x:v>23</x:v>
      </x:c>
      <x:c r="H33" t="n">
        <x:v>5</x:v>
      </x:c>
      <x:c r="I33" t="n">
        <x:v>1</x:v>
      </x:c>
      <x:c r="J33" t="n">
        <x:v>6</x:v>
      </x:c>
      <x:c r="K33" t="n">
        <x:v>70</x:v>
      </x:c>
      <x:c r="L33" t="str"/>
    </x:row>
    <x:row r="34">
      <x:c r="A34" t="str">
        <x:v>Buldhana</x:v>
      </x:c>
      <x:c r="B34" t="str">
        <x:v>Buldhana</x:v>
      </x:c>
      <x:c r="C34" t="str">
        <x:v>District / combined district</x:v>
      </x:c>
      <x:c r="D34" t="n">
        <x:v>282</x:v>
      </x:c>
      <x:c r="E34" t="n">
        <x:v>56</x:v>
      </x:c>
      <x:c r="F34" t="n">
        <x:v>75</x:v>
      </x:c>
      <x:c r="G34" t="n">
        <x:v>1</x:v>
      </x:c>
      <x:c r="H34" t="n">
        <x:v>1</x:v>
      </x:c>
      <x:c r="I34" t="n">
        <x:v>2</x:v>
      </x:c>
      <x:c r="J34" t="n">
        <x:v>1</x:v>
      </x:c>
      <x:c r="K34" t="n">
        <x:v>14</x:v>
      </x:c>
      <x:c r="L34" t="str"/>
    </x:row>
    <x:row r="35">
      <x:c r="A35" t="str">
        <x:v>Akola</x:v>
      </x:c>
      <x:c r="B35" t="str">
        <x:v>Akola</x:v>
      </x:c>
      <x:c r="C35" t="str">
        <x:v>District / combined district</x:v>
      </x:c>
      <x:c r="D35" t="n">
        <x:v>179</x:v>
      </x:c>
      <x:c r="E35" t="n">
        <x:v>31</x:v>
      </x:c>
      <x:c r="F35" t="n">
        <x:v>31</x:v>
      </x:c>
      <x:c r="G35" t="n">
        <x:v>1</x:v>
      </x:c>
      <x:c r="H35" t="n">
        <x:v>0</x:v>
      </x:c>
      <x:c r="I35" t="n">
        <x:v>0</x:v>
      </x:c>
      <x:c r="J35" t="n">
        <x:v>1</x:v>
      </x:c>
      <x:c r="K35" t="n">
        <x:v>5</x:v>
      </x:c>
      <x:c r="L35" t="str"/>
    </x:row>
    <x:row r="36">
      <x:c r="A36" t="str">
        <x:v>Washim</x:v>
      </x:c>
      <x:c r="B36" t="str">
        <x:v>Washim</x:v>
      </x:c>
      <x:c r="C36" t="str">
        <x:v>District / combined district</x:v>
      </x:c>
      <x:c r="D36" t="n">
        <x:v>159</x:v>
      </x:c>
      <x:c r="E36" t="n">
        <x:v>27</x:v>
      </x:c>
      <x:c r="F36" t="n">
        <x:v>12</x:v>
      </x:c>
      <x:c r="G36" t="n">
        <x:v>1</x:v>
      </x:c>
      <x:c r="H36" t="n">
        <x:v>1</x:v>
      </x:c>
      <x:c r="I36" t="n">
        <x:v>0</x:v>
      </x:c>
      <x:c r="J36" t="n">
        <x:v>1</x:v>
      </x:c>
      <x:c r="K36" t="n">
        <x:v>6</x:v>
      </x:c>
      <x:c r="L36" t="str"/>
    </x:row>
    <x:row r="37">
      <x:c r="A37" t="str">
        <x:v>Amravati</x:v>
      </x:c>
      <x:c r="B37" t="str">
        <x:v>Amravati</x:v>
      </x:c>
      <x:c r="C37" t="str">
        <x:v>District / combined district</x:v>
      </x:c>
      <x:c r="D37" t="n">
        <x:v>340</x:v>
      </x:c>
      <x:c r="E37" t="n">
        <x:v>59</x:v>
      </x:c>
      <x:c r="F37" t="n">
        <x:v>105</x:v>
      </x:c>
      <x:c r="G37" t="n">
        <x:v>6</x:v>
      </x:c>
      <x:c r="H37" t="n">
        <x:v>1</x:v>
      </x:c>
      <x:c r="I37" t="n">
        <x:v>0</x:v>
      </x:c>
      <x:c r="J37" t="n">
        <x:v>2</x:v>
      </x:c>
      <x:c r="K37" t="n">
        <x:v>8</x:v>
      </x:c>
      <x:c r="L37" t="str"/>
    </x:row>
    <x:row r="38">
      <x:c r="A38" t="str">
        <x:v>Yavatmal</x:v>
      </x:c>
      <x:c r="B38" t="str">
        <x:v>Yavatmal</x:v>
      </x:c>
      <x:c r="C38" t="str">
        <x:v>District / combined district</x:v>
      </x:c>
      <x:c r="D38" t="n">
        <x:v>450</x:v>
      </x:c>
      <x:c r="E38" t="n">
        <x:v>67</x:v>
      </x:c>
      <x:c r="F38" t="n">
        <x:v>25</x:v>
      </x:c>
      <x:c r="G38" t="n">
        <x:v>3</x:v>
      </x:c>
      <x:c r="H38" t="n">
        <x:v>0</x:v>
      </x:c>
      <x:c r="I38" t="n">
        <x:v>0</x:v>
      </x:c>
      <x:c r="J38" t="n">
        <x:v>1</x:v>
      </x:c>
      <x:c r="K38" t="n">
        <x:v>15</x:v>
      </x:c>
      <x:c r="L38" t="str"/>
    </x:row>
    <x:row r="39">
      <x:c r="A39" t="str">
        <x:v>Amravati Division</x:v>
      </x:c>
      <x:c r="B39" t="str">
        <x:v>Amravati Division</x:v>
      </x:c>
      <x:c r="C39" t="str">
        <x:v>Division subtotal</x:v>
      </x:c>
      <x:c r="D39" t="n">
        <x:v>1410</x:v>
      </x:c>
      <x:c r="E39" t="n">
        <x:v>240</x:v>
      </x:c>
      <x:c r="F39" t="n">
        <x:v>248</x:v>
      </x:c>
      <x:c r="G39" t="n">
        <x:v>12</x:v>
      </x:c>
      <x:c r="H39" t="n">
        <x:v>3</x:v>
      </x:c>
      <x:c r="I39" t="n">
        <x:v>2</x:v>
      </x:c>
      <x:c r="J39" t="n">
        <x:v>6</x:v>
      </x:c>
      <x:c r="K39" t="n">
        <x:v>48</x:v>
      </x:c>
      <x:c r="L39" t="str"/>
    </x:row>
    <x:row r="40">
      <x:c r="A40" t="str">
        <x:v>Wardha</x:v>
      </x:c>
      <x:c r="B40" t="str">
        <x:v>Wardha</x:v>
      </x:c>
      <x:c r="C40" t="str">
        <x:v>District / combined district</x:v>
      </x:c>
      <x:c r="D40" t="n">
        <x:v>183</x:v>
      </x:c>
      <x:c r="E40" t="n">
        <x:v>32</x:v>
      </x:c>
      <x:c r="F40" t="n">
        <x:v>31</x:v>
      </x:c>
      <x:c r="G40" t="n">
        <x:v>2</x:v>
      </x:c>
      <x:c r="H40" t="n">
        <x:v>1</x:v>
      </x:c>
      <x:c r="I40" t="n">
        <x:v>0</x:v>
      </x:c>
      <x:c r="J40" t="n">
        <x:v>0</x:v>
      </x:c>
      <x:c r="K40" t="n">
        <x:v>8</x:v>
      </x:c>
      <x:c r="L40" t="str"/>
    </x:row>
    <x:row r="41">
      <x:c r="A41" t="str">
        <x:v>Nagpur</x:v>
      </x:c>
      <x:c r="B41" t="str">
        <x:v>Nagpur</x:v>
      </x:c>
      <x:c r="C41" t="str">
        <x:v>District / combined district</x:v>
      </x:c>
      <x:c r="D41" t="n">
        <x:v>317</x:v>
      </x:c>
      <x:c r="E41" t="n">
        <x:v>56</x:v>
      </x:c>
      <x:c r="F41" t="n">
        <x:v>63</x:v>
      </x:c>
      <x:c r="G41" t="n">
        <x:v>2</x:v>
      </x:c>
      <x:c r="H41" t="n">
        <x:v>1</x:v>
      </x:c>
      <x:c r="I41" t="n">
        <x:v>0</x:v>
      </x:c>
      <x:c r="J41" t="n">
        <x:v>1</x:v>
      </x:c>
      <x:c r="K41" t="n">
        <x:v>11</x:v>
      </x:c>
      <x:c r="L41" t="str"/>
    </x:row>
    <x:row r="42">
      <x:c r="A42" t="str">
        <x:v>Bhandara</x:v>
      </x:c>
      <x:c r="B42" t="str">
        <x:v>Bhandara</x:v>
      </x:c>
      <x:c r="C42" t="str">
        <x:v>District / combined district</x:v>
      </x:c>
      <x:c r="D42" t="n">
        <x:v>193</x:v>
      </x:c>
      <x:c r="E42" t="n">
        <x:v>33</x:v>
      </x:c>
      <x:c r="F42" t="n">
        <x:v>33</x:v>
      </x:c>
      <x:c r="G42" t="n">
        <x:v>2</x:v>
      </x:c>
      <x:c r="H42" t="n">
        <x:v>1</x:v>
      </x:c>
      <x:c r="I42" t="n">
        <x:v>0</x:v>
      </x:c>
      <x:c r="J42" t="n">
        <x:v>0</x:v>
      </x:c>
      <x:c r="K42" t="n">
        <x:v>7</x:v>
      </x:c>
      <x:c r="L42" t="str"/>
    </x:row>
    <x:row r="43">
      <x:c r="A43" t="str">
        <x:v>Gondia</x:v>
      </x:c>
      <x:c r="B43" t="str">
        <x:v>Gondia</x:v>
      </x:c>
      <x:c r="C43" t="str">
        <x:v>District / combined district</x:v>
      </x:c>
      <x:c r="D43" t="n">
        <x:v>258</x:v>
      </x:c>
      <x:c r="E43" t="n">
        <x:v>45</x:v>
      </x:c>
      <x:c r="F43" t="n">
        <x:v>34</x:v>
      </x:c>
      <x:c r="G43" t="n">
        <x:v>1</x:v>
      </x:c>
      <x:c r="H43" t="n">
        <x:v>0</x:v>
      </x:c>
      <x:c r="I43" t="n">
        <x:v>0</x:v>
      </x:c>
      <x:c r="J43" t="n">
        <x:v>0</x:v>
      </x:c>
      <x:c r="K43" t="n">
        <x:v>10</x:v>
      </x:c>
      <x:c r="L43" t="str"/>
    </x:row>
    <x:row r="44">
      <x:c r="A44" t="str">
        <x:v>Chandrapur</x:v>
      </x:c>
      <x:c r="B44" t="str">
        <x:v>Chandrapur</x:v>
      </x:c>
      <x:c r="C44" t="str">
        <x:v>District / combined district</x:v>
      </x:c>
      <x:c r="D44" t="n">
        <x:v>342</x:v>
      </x:c>
      <x:c r="E44" t="n">
        <x:v>65</x:v>
      </x:c>
      <x:c r="F44" t="n">
        <x:v>27</x:v>
      </x:c>
      <x:c r="G44" t="n">
        <x:v>4</x:v>
      </x:c>
      <x:c r="H44" t="n">
        <x:v>0</x:v>
      </x:c>
      <x:c r="I44" t="n">
        <x:v>0</x:v>
      </x:c>
      <x:c r="J44" t="n">
        <x:v>0</x:v>
      </x:c>
      <x:c r="K44" t="n">
        <x:v>10</x:v>
      </x:c>
      <x:c r="L44" t="str"/>
    </x:row>
    <x:row r="45">
      <x:c r="A45" t="str">
        <x:v>Gadchiroli</x:v>
      </x:c>
      <x:c r="B45" t="str">
        <x:v>Gadchiroli</x:v>
      </x:c>
      <x:c r="C45" t="str">
        <x:v>District / combined district</x:v>
      </x:c>
      <x:c r="D45" t="n">
        <x:v>376</x:v>
      </x:c>
      <x:c r="E45" t="n">
        <x:v>52</x:v>
      </x:c>
      <x:c r="F45" t="n">
        <x:v>48</x:v>
      </x:c>
      <x:c r="G45" t="n">
        <x:v>3</x:v>
      </x:c>
      <x:c r="H45" t="n">
        <x:v>1</x:v>
      </x:c>
      <x:c r="I45" t="n">
        <x:v>0</x:v>
      </x:c>
      <x:c r="J45" t="n">
        <x:v>1</x:v>
      </x:c>
      <x:c r="K45" t="n">
        <x:v>9</x:v>
      </x:c>
      <x:c r="L45" t="str"/>
    </x:row>
    <x:row r="46">
      <x:c r="A46" t="str">
        <x:v>Nagpur Division</x:v>
      </x:c>
      <x:c r="B46" t="str">
        <x:v>Nagpur Division</x:v>
      </x:c>
      <x:c r="C46" t="str">
        <x:v>Division subtotal</x:v>
      </x:c>
      <x:c r="D46" t="n">
        <x:v>1669</x:v>
      </x:c>
      <x:c r="E46" t="n">
        <x:v>283</x:v>
      </x:c>
      <x:c r="F46" t="n">
        <x:v>236</x:v>
      </x:c>
      <x:c r="G46" t="n">
        <x:v>14</x:v>
      </x:c>
      <x:c r="H46" t="n">
        <x:v>4</x:v>
      </x:c>
      <x:c r="I46" t="n">
        <x:v>0</x:v>
      </x:c>
      <x:c r="J46" t="n">
        <x:v>2</x:v>
      </x:c>
      <x:c r="K46" t="n">
        <x:v>55</x:v>
      </x:c>
      <x:c r="L46" t="str"/>
    </x:row>
    <x:row r="47">
      <x:c r="A47" t="str">
        <x:v>Maharashtra State</x:v>
      </x:c>
      <x:c r="B47" t="str">
        <x:v>Maharashtra State</x:v>
      </x:c>
      <x:c r="C47" t="str">
        <x:v>State subtotal</x:v>
      </x:c>
      <x:c r="D47" t="n">
        <x:v>10788</x:v>
      </x:c>
      <x:c r="E47" t="n">
        <x:v>1953</x:v>
      </x:c>
      <x:c r="F47" t="n">
        <x:v>851</x:v>
      </x:c>
      <x:c r="G47" t="n">
        <x:v>104</x:v>
      </x:c>
      <x:c r="H47" t="n">
        <x:v>20</x:v>
      </x:c>
      <x:c r="I47" t="n">
        <x:v>8</x:v>
      </x:c>
      <x:c r="J47" t="n">
        <x:v>23</x:v>
      </x:c>
      <x:c r="K47" t="n">
        <x:v>374</x:v>
      </x:c>
      <x:c r="L47" t="str"/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ef6a96dcdcfc430a"/>
  </x:tableParts>
</x:worksheet>
</file>

<file path=xl/worksheets/sheet6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8" hidden="0" customWidth="1"/>
  </x:cols>
  <x:sheetData>
    <x:row r="1" ht="36" customHeight="1">
      <x:c r="A1" s="32" t="str">
        <x:v>Industry units by MPCB category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</x:row>
    <x:row r="2" ht="25" customHeight="1">
      <x:c r="A2" s="34" t="str">
        <x:v>Source file: ikbu.csv    |    User-supplied upload    |    Cleaned numeric fields; source labels preserved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26" customHeight="1">
      <x:c r="A3" s="46" t="str">
        <x:v>Industrial region counts: large/medium/small by red/orange/green, plus white. Total row is a subtotal.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</x:row>
    <x:row r="5" ht="32" customHeight="1">
      <x:c r="A5" s="41" t="str">
        <x:v>MPCB region</x:v>
      </x:c>
      <x:c r="B5" s="41" t="str">
        <x:v>Row type</x:v>
      </x:c>
      <x:c r="C5" s="41" t="str">
        <x:v>Red Large</x:v>
      </x:c>
      <x:c r="D5" s="41" t="str">
        <x:v>Red Medium</x:v>
      </x:c>
      <x:c r="E5" s="41" t="str">
        <x:v>Red Small</x:v>
      </x:c>
      <x:c r="F5" s="41" t="str">
        <x:v>Orange Large</x:v>
      </x:c>
      <x:c r="G5" s="41" t="str">
        <x:v>Orange Medium</x:v>
      </x:c>
      <x:c r="H5" s="41" t="str">
        <x:v>Orange Small</x:v>
      </x:c>
      <x:c r="I5" s="41" t="str">
        <x:v>Green Large</x:v>
      </x:c>
      <x:c r="J5" s="41" t="str">
        <x:v>Green Medium</x:v>
      </x:c>
      <x:c r="K5" s="41" t="str">
        <x:v>Green Small</x:v>
      </x:c>
      <x:c r="L5" s="41" t="str">
        <x:v>White</x:v>
      </x:c>
      <x:c r="M5" s="41" t="str">
        <x:v>Total</x:v>
      </x:c>
      <x:c r="N5" s="41" t="str">
        <x:v>Notes</x:v>
      </x:c>
    </x:row>
    <x:row r="6">
      <x:c r="A6" t="str">
        <x:v>Mumbai</x:v>
      </x:c>
      <x:c r="B6" t="str">
        <x:v>Region</x:v>
      </x:c>
      <x:c r="C6" s="47" t="n">
        <x:v>668</x:v>
      </x:c>
      <x:c r="D6" s="47" t="n">
        <x:v>51</x:v>
      </x:c>
      <x:c r="E6" s="47" t="n">
        <x:v>1116</x:v>
      </x:c>
      <x:c r="F6" s="47" t="n">
        <x:v>759</x:v>
      </x:c>
      <x:c r="G6" s="47" t="n">
        <x:v>329</x:v>
      </x:c>
      <x:c r="H6" s="47" t="n">
        <x:v>1890</x:v>
      </x:c>
      <x:c r="I6" s="47" t="n">
        <x:v>70</x:v>
      </x:c>
      <x:c r="J6" s="47" t="n">
        <x:v>70</x:v>
      </x:c>
      <x:c r="K6" s="47" t="n">
        <x:v>3223</x:v>
      </x:c>
      <x:c r="L6" s="47" t="n">
        <x:v>320</x:v>
      </x:c>
      <x:c r="M6" s="47" t="n">
        <x:v>8496</x:v>
      </x:c>
      <x:c r="N6" s="47" t="str"/>
    </x:row>
    <x:row r="7">
      <x:c r="A7" t="str">
        <x:v>Thane</x:v>
      </x:c>
      <x:c r="B7" t="str">
        <x:v>Region</x:v>
      </x:c>
      <x:c r="C7" s="47" t="n">
        <x:v>289</x:v>
      </x:c>
      <x:c r="D7" s="47" t="n">
        <x:v>59</x:v>
      </x:c>
      <x:c r="E7" s="47" t="n">
        <x:v>1078</x:v>
      </x:c>
      <x:c r="F7" s="47" t="n">
        <x:v>287</x:v>
      </x:c>
      <x:c r="G7" s="47" t="n">
        <x:v>74</x:v>
      </x:c>
      <x:c r="H7" s="47" t="n">
        <x:v>1530</x:v>
      </x:c>
      <x:c r="I7" s="47" t="n">
        <x:v>49</x:v>
      </x:c>
      <x:c r="J7" s="47" t="n">
        <x:v>42</x:v>
      </x:c>
      <x:c r="K7" s="47" t="n">
        <x:v>2344</x:v>
      </x:c>
      <x:c r="L7" s="47" t="n">
        <x:v>496</x:v>
      </x:c>
      <x:c r="M7" s="47" t="n">
        <x:v>6248</x:v>
      </x:c>
      <x:c r="N7" s="47" t="str"/>
    </x:row>
    <x:row r="8">
      <x:c r="A8" t="str">
        <x:v>Kalyan</x:v>
      </x:c>
      <x:c r="B8" t="str">
        <x:v>Region</x:v>
      </x:c>
      <x:c r="C8" s="47" t="n">
        <x:v>209</x:v>
      </x:c>
      <x:c r="D8" s="47" t="n">
        <x:v>86</x:v>
      </x:c>
      <x:c r="E8" s="47" t="n">
        <x:v>2262</x:v>
      </x:c>
      <x:c r="F8" s="47" t="n">
        <x:v>155</x:v>
      </x:c>
      <x:c r="G8" s="47" t="n">
        <x:v>89</x:v>
      </x:c>
      <x:c r="H8" s="47" t="n">
        <x:v>1940</x:v>
      </x:c>
      <x:c r="I8" s="47" t="n">
        <x:v>44</x:v>
      </x:c>
      <x:c r="J8" s="47" t="n">
        <x:v>39</x:v>
      </x:c>
      <x:c r="K8" s="47" t="n">
        <x:v>2341</x:v>
      </x:c>
      <x:c r="L8" s="47" t="n">
        <x:v>1369</x:v>
      </x:c>
      <x:c r="M8" s="47" t="n">
        <x:v>8534</x:v>
      </x:c>
      <x:c r="N8" s="47" t="str"/>
    </x:row>
    <x:row r="9">
      <x:c r="A9" t="str">
        <x:v>Navi Mumbai</x:v>
      </x:c>
      <x:c r="B9" t="str">
        <x:v>Region</x:v>
      </x:c>
      <x:c r="C9" s="47" t="n">
        <x:v>147</x:v>
      </x:c>
      <x:c r="D9" s="47" t="n">
        <x:v>29</x:v>
      </x:c>
      <x:c r="E9" s="47" t="n">
        <x:v>736</x:v>
      </x:c>
      <x:c r="F9" s="47" t="n">
        <x:v>143</x:v>
      </x:c>
      <x:c r="G9" s="47" t="n">
        <x:v>97</x:v>
      </x:c>
      <x:c r="H9" s="47" t="n">
        <x:v>1120</x:v>
      </x:c>
      <x:c r="I9" s="47" t="n">
        <x:v>49</x:v>
      </x:c>
      <x:c r="J9" s="47" t="n">
        <x:v>68</x:v>
      </x:c>
      <x:c r="K9" s="47" t="n">
        <x:v>1883</x:v>
      </x:c>
      <x:c r="L9" s="47" t="n">
        <x:v>896</x:v>
      </x:c>
      <x:c r="M9" s="47" t="n">
        <x:v>5168</x:v>
      </x:c>
      <x:c r="N9" s="47" t="str"/>
    </x:row>
    <x:row r="10">
      <x:c r="A10" t="str">
        <x:v>Raigad</x:v>
      </x:c>
      <x:c r="B10" t="str">
        <x:v>Region</x:v>
      </x:c>
      <x:c r="C10" s="47" t="n">
        <x:v>292</x:v>
      </x:c>
      <x:c r="D10" s="47" t="n">
        <x:v>62</x:v>
      </x:c>
      <x:c r="E10" s="47" t="n">
        <x:v>585</x:v>
      </x:c>
      <x:c r="F10" s="47" t="n">
        <x:v>155</x:v>
      </x:c>
      <x:c r="G10" s="47" t="n">
        <x:v>59</x:v>
      </x:c>
      <x:c r="H10" s="47" t="n">
        <x:v>1029</x:v>
      </x:c>
      <x:c r="I10" s="47" t="n">
        <x:v>56</x:v>
      </x:c>
      <x:c r="J10" s="47" t="n">
        <x:v>43</x:v>
      </x:c>
      <x:c r="K10" s="47" t="n">
        <x:v>936</x:v>
      </x:c>
      <x:c r="L10" s="47" t="n">
        <x:v>206</x:v>
      </x:c>
      <x:c r="M10" s="47" t="n">
        <x:v>3423</x:v>
      </x:c>
      <x:c r="N10" s="47" t="str"/>
    </x:row>
    <x:row r="11">
      <x:c r="A11" t="str">
        <x:v>Pune</x:v>
      </x:c>
      <x:c r="B11" t="str">
        <x:v>Region</x:v>
      </x:c>
      <x:c r="C11" s="47" t="n">
        <x:v>1790</x:v>
      </x:c>
      <x:c r="D11" s="47" t="n">
        <x:v>198</x:v>
      </x:c>
      <x:c r="E11" s="47" t="n">
        <x:v>2853</x:v>
      </x:c>
      <x:c r="F11" s="47" t="n">
        <x:v>1789</x:v>
      </x:c>
      <x:c r="G11" s="47" t="n">
        <x:v>562</x:v>
      </x:c>
      <x:c r="H11" s="47" t="n">
        <x:v>6914</x:v>
      </x:c>
      <x:c r="I11" s="47" t="n">
        <x:v>699</x:v>
      </x:c>
      <x:c r="J11" s="47" t="n">
        <x:v>498</x:v>
      </x:c>
      <x:c r="K11" s="47" t="n">
        <x:v>9621</x:v>
      </x:c>
      <x:c r="L11" s="47" t="n">
        <x:v>4222</x:v>
      </x:c>
      <x:c r="M11" s="47" t="n">
        <x:v>29146</x:v>
      </x:c>
      <x:c r="N11" s="47" t="str"/>
    </x:row>
    <x:row r="12">
      <x:c r="A12" t="str">
        <x:v>Kolhapur</x:v>
      </x:c>
      <x:c r="B12" t="str">
        <x:v>Region</x:v>
      </x:c>
      <x:c r="C12" s="47" t="n">
        <x:v>327</x:v>
      </x:c>
      <x:c r="D12" s="47" t="n">
        <x:v>82</x:v>
      </x:c>
      <x:c r="E12" s="47" t="n">
        <x:v>1433</x:v>
      </x:c>
      <x:c r="F12" s="47" t="n">
        <x:v>115</x:v>
      </x:c>
      <x:c r="G12" s="47" t="n">
        <x:v>142</x:v>
      </x:c>
      <x:c r="H12" s="47" t="n">
        <x:v>5830</x:v>
      </x:c>
      <x:c r="I12" s="47" t="n">
        <x:v>46</x:v>
      </x:c>
      <x:c r="J12" s="47" t="n">
        <x:v>38</x:v>
      </x:c>
      <x:c r="K12" s="47" t="n">
        <x:v>8452</x:v>
      </x:c>
      <x:c r="L12" s="47" t="n">
        <x:v>6753</x:v>
      </x:c>
      <x:c r="M12" s="47" t="n">
        <x:v>23218</x:v>
      </x:c>
      <x:c r="N12" s="47" t="str"/>
    </x:row>
    <x:row r="13">
      <x:c r="A13" t="str">
        <x:v>Nashik</x:v>
      </x:c>
      <x:c r="B13" t="str">
        <x:v>Region</x:v>
      </x:c>
      <x:c r="C13" s="47" t="n">
        <x:v>575</x:v>
      </x:c>
      <x:c r="D13" s="47" t="n">
        <x:v>96</x:v>
      </x:c>
      <x:c r="E13" s="47" t="n">
        <x:v>1493</x:v>
      </x:c>
      <x:c r="F13" s="47" t="n">
        <x:v>249</x:v>
      </x:c>
      <x:c r="G13" s="47" t="n">
        <x:v>190</x:v>
      </x:c>
      <x:c r="H13" s="47" t="n">
        <x:v>4115</x:v>
      </x:c>
      <x:c r="I13" s="47" t="n">
        <x:v>151</x:v>
      </x:c>
      <x:c r="J13" s="47" t="n">
        <x:v>113</x:v>
      </x:c>
      <x:c r="K13" s="47" t="n">
        <x:v>6043</x:v>
      </x:c>
      <x:c r="L13" s="47" t="n">
        <x:v>5194</x:v>
      </x:c>
      <x:c r="M13" s="47" t="n">
        <x:v>18219</x:v>
      </x:c>
      <x:c r="N13" s="47" t="str"/>
    </x:row>
    <x:row r="14">
      <x:c r="A14" t="str">
        <x:v>Chhatrapati Sambhaji Nagar</x:v>
      </x:c>
      <x:c r="B14" t="str">
        <x:v>Region</x:v>
      </x:c>
      <x:c r="C14" s="47" t="n">
        <x:v>361</x:v>
      </x:c>
      <x:c r="D14" s="47" t="n">
        <x:v>42</x:v>
      </x:c>
      <x:c r="E14" s="47" t="n">
        <x:v>582</x:v>
      </x:c>
      <x:c r="F14" s="47" t="n">
        <x:v>163</x:v>
      </x:c>
      <x:c r="G14" s="47" t="n">
        <x:v>127</x:v>
      </x:c>
      <x:c r="H14" s="47" t="n">
        <x:v>3469</x:v>
      </x:c>
      <x:c r="I14" s="47" t="n">
        <x:v>87</x:v>
      </x:c>
      <x:c r="J14" s="47" t="n">
        <x:v>99</x:v>
      </x:c>
      <x:c r="K14" s="47" t="n">
        <x:v>6211</x:v>
      </x:c>
      <x:c r="L14" s="47" t="n">
        <x:v>784</x:v>
      </x:c>
      <x:c r="M14" s="47" t="n">
        <x:v>11925</x:v>
      </x:c>
      <x:c r="N14" s="47" t="str"/>
    </x:row>
    <x:row r="15">
      <x:c r="A15" t="str">
        <x:v>Amravati</x:v>
      </x:c>
      <x:c r="B15" t="str">
        <x:v>Region</x:v>
      </x:c>
      <x:c r="C15" s="47" t="n">
        <x:v>33</x:v>
      </x:c>
      <x:c r="D15" s="47" t="n">
        <x:v>6</x:v>
      </x:c>
      <x:c r="E15" s="47" t="n">
        <x:v>134</x:v>
      </x:c>
      <x:c r="F15" s="47" t="n">
        <x:v>33</x:v>
      </x:c>
      <x:c r="G15" s="47" t="n">
        <x:v>22</x:v>
      </x:c>
      <x:c r="H15" s="47" t="n">
        <x:v>2407</x:v>
      </x:c>
      <x:c r="I15" s="47" t="n">
        <x:v>7</x:v>
      </x:c>
      <x:c r="J15" s="47" t="n">
        <x:v>19</x:v>
      </x:c>
      <x:c r="K15" s="47" t="n">
        <x:v>5049</x:v>
      </x:c>
      <x:c r="L15" s="47" t="n">
        <x:v>1184</x:v>
      </x:c>
      <x:c r="M15" s="47" t="n">
        <x:v>8894</x:v>
      </x:c>
      <x:c r="N15" s="47" t="str"/>
    </x:row>
    <x:row r="16">
      <x:c r="A16" t="str">
        <x:v>Nagpur</x:v>
      </x:c>
      <x:c r="B16" t="str">
        <x:v>Region</x:v>
      </x:c>
      <x:c r="C16" s="47" t="n">
        <x:v>311</x:v>
      </x:c>
      <x:c r="D16" s="47" t="n">
        <x:v>44</x:v>
      </x:c>
      <x:c r="E16" s="47" t="n">
        <x:v>1014</x:v>
      </x:c>
      <x:c r="F16" s="47" t="n">
        <x:v>160</x:v>
      </x:c>
      <x:c r="G16" s="47" t="n">
        <x:v>129</x:v>
      </x:c>
      <x:c r="H16" s="47" t="n">
        <x:v>3371</x:v>
      </x:c>
      <x:c r="I16" s="47" t="n">
        <x:v>31</x:v>
      </x:c>
      <x:c r="J16" s="47" t="n">
        <x:v>35</x:v>
      </x:c>
      <x:c r="K16" s="47" t="n">
        <x:v>3265</x:v>
      </x:c>
      <x:c r="L16" s="47" t="n">
        <x:v>636</x:v>
      </x:c>
      <x:c r="M16" s="47" t="n">
        <x:v>8996</x:v>
      </x:c>
      <x:c r="N16" s="47" t="str"/>
    </x:row>
    <x:row r="17">
      <x:c r="A17" t="str">
        <x:v>Chandrapur</x:v>
      </x:c>
      <x:c r="B17" t="str">
        <x:v>Region</x:v>
      </x:c>
      <x:c r="C17" s="47" t="n">
        <x:v>159</x:v>
      </x:c>
      <x:c r="D17" s="47" t="n">
        <x:v>37</x:v>
      </x:c>
      <x:c r="E17" s="47" t="n">
        <x:v>110</x:v>
      </x:c>
      <x:c r="F17" s="47" t="n">
        <x:v>23</x:v>
      </x:c>
      <x:c r="G17" s="47" t="n">
        <x:v>44</x:v>
      </x:c>
      <x:c r="H17" s="47" t="n">
        <x:v>581</x:v>
      </x:c>
      <x:c r="I17" s="47" t="n">
        <x:v>11</x:v>
      </x:c>
      <x:c r="J17" s="47" t="n">
        <x:v>10</x:v>
      </x:c>
      <x:c r="K17" s="47" t="n">
        <x:v>865</x:v>
      </x:c>
      <x:c r="L17" s="47" t="n">
        <x:v>360</x:v>
      </x:c>
      <x:c r="M17" s="47" t="n">
        <x:v>2200</x:v>
      </x:c>
      <x:c r="N17" s="47" t="str"/>
    </x:row>
    <x:row r="18">
      <x:c r="A18" t="str">
        <x:v>Total</x:v>
      </x:c>
      <x:c r="B18" t="str">
        <x:v>State total</x:v>
      </x:c>
      <x:c r="C18" s="47" t="n">
        <x:v>5161</x:v>
      </x:c>
      <x:c r="D18" s="47" t="n">
        <x:v>792</x:v>
      </x:c>
      <x:c r="E18" s="47" t="n">
        <x:v>13396</x:v>
      </x:c>
      <x:c r="F18" s="47" t="n">
        <x:v>4031</x:v>
      </x:c>
      <x:c r="G18" s="47" t="n">
        <x:v>1864</x:v>
      </x:c>
      <x:c r="H18" s="47" t="n">
        <x:v>34196</x:v>
      </x:c>
      <x:c r="I18" s="47" t="n">
        <x:v>1300</x:v>
      </x:c>
      <x:c r="J18" s="47" t="n">
        <x:v>1074</x:v>
      </x:c>
      <x:c r="K18" s="47" t="n">
        <x:v>50233</x:v>
      </x:c>
      <x:c r="L18" s="47" t="n">
        <x:v>22420</x:v>
      </x:c>
      <x:c r="M18" s="47" t="n">
        <x:v>134467</x:v>
      </x:c>
      <x:c r="N18" s="47" t="str">
        <x:v>Aggregates regions; do not sum with region rows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560d5db628444787"/>
  </x:tableParts>
</x:worksheet>
</file>

<file path=xl/worksheets/sheet6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48" hidden="0" customWidth="1"/>
  </x:cols>
  <x:sheetData>
    <x:row r="1" ht="36" customHeight="1">
      <x:c r="A1" s="32" t="str">
        <x:v>Vehicle inventory by RTO / vehicle class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</x:row>
    <x:row r="2" ht="25" customHeight="1">
      <x:c r="A2" s="34" t="str">
        <x:v>Source file: ukjg.csv    |    User-supplied upload    |    Cleaned numeric fields; source labels preserved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</x:row>
    <x:row r="3" ht="26" customHeight="1">
      <x:c r="A3" s="46" t="str">
        <x:v>Mixed office and region-subtotal rows; source reference year not given. NOT registrations by month.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  <x:c r="AA3" s="46"/>
    </x:row>
    <x:row r="5" ht="32" customHeight="1">
      <x:c r="A5" s="41" t="str">
        <x:v>Transport office / grouping (source)</x:v>
      </x:c>
      <x:c r="B5" s="41" t="str">
        <x:v>Office / grouping cleaned</x:v>
      </x:c>
      <x:c r="C5" s="41" t="str">
        <x:v>Row type</x:v>
      </x:c>
      <x:c r="D5" s="41" t="str">
        <x:v>Motor Cycles</x:v>
      </x:c>
      <x:c r="E5" s="41" t="str">
        <x:v>Scooters</x:v>
      </x:c>
      <x:c r="F5" s="41" t="str">
        <x:v>Moped</x:v>
      </x:c>
      <x:c r="G5" s="41" t="str">
        <x:v>Cars</x:v>
      </x:c>
      <x:c r="H5" s="41" t="str">
        <x:v>Jeeps</x:v>
      </x:c>
      <x:c r="I5" s="41" t="str">
        <x:v>Stn. Wagons</x:v>
      </x:c>
      <x:c r="J5" s="41" t="str">
        <x:v>Taxis meter fited</x:v>
      </x:c>
      <x:c r="K5" s="41" t="str">
        <x:v>Luxury /Turist Cabs</x:v>
      </x:c>
      <x:c r="L5" s="41" t="str">
        <x:v>Auto-rikshaws</x:v>
      </x:c>
      <x:c r="M5" s="41" t="str">
        <x:v>Stage carriages</x:v>
      </x:c>
      <x:c r="N5" s="41" t="str">
        <x:v>Contract carriages /Mini Bus</x:v>
      </x:c>
      <x:c r="O5" s="41" t="str">
        <x:v>School Buses</x:v>
      </x:c>
      <x:c r="P5" s="41" t="str">
        <x:v>Private Service Vehicles</x:v>
      </x:c>
      <x:c r="Q5" s="41" t="str">
        <x:v>Ambulances</x:v>
      </x:c>
      <x:c r="R5" s="41" t="str">
        <x:v>Articulated/Multi.</x:v>
      </x:c>
      <x:c r="S5" s="41" t="str">
        <x:v>Trucks &amp; Lorries</x:v>
      </x:c>
      <x:c r="T5" s="41" t="str">
        <x:v>Tanker</x:v>
      </x:c>
      <x:c r="U5" s="41" t="str">
        <x:v>Delivery Van (4 wheelers)</x:v>
      </x:c>
      <x:c r="V5" s="41" t="str">
        <x:v>Delivery Van (3 wheelers)</x:v>
      </x:c>
      <x:c r="W5" s="41" t="str">
        <x:v>Tractors</x:v>
      </x:c>
      <x:c r="X5" s="41" t="str">
        <x:v>Trailors</x:v>
      </x:c>
      <x:c r="Y5" s="41" t="str">
        <x:v>Others</x:v>
      </x:c>
      <x:c r="Z5" s="41" t="str">
        <x:v>Total across vehicle classes</x:v>
      </x:c>
      <x:c r="AA5" s="41" t="str">
        <x:v>Notes</x:v>
      </x:c>
    </x:row>
    <x:row r="6">
      <x:c r="A6" t="str">
        <x:v>Mumbai (C)</x:v>
      </x:c>
      <x:c r="B6" t="str">
        <x:v>Mumbai (C)</x:v>
      </x:c>
      <x:c r="C6" t="str">
        <x:v>Office / local area</x:v>
      </x:c>
      <x:c r="D6" s="47" t="n">
        <x:v>302349</x:v>
      </x:c>
      <x:c r="E6" s="47" t="n">
        <x:v>202807</x:v>
      </x:c>
      <x:c r="F6" s="47" t="n">
        <x:v>7634</x:v>
      </x:c>
      <x:c r="G6" s="47" t="n">
        <x:v>308850</x:v>
      </x:c>
      <x:c r="H6" s="47" t="n">
        <x:v>9974</x:v>
      </x:c>
      <x:c r="I6" s="47" t="n">
        <x:v>2175</x:v>
      </x:c>
      <x:c r="J6" s="47" t="n">
        <x:v>37704</x:v>
      </x:c>
      <x:c r="K6" s="47" t="n">
        <x:v>17117</x:v>
      </x:c>
      <x:c r="L6" s="47" t="n">
        <x:v>0</x:v>
      </x:c>
      <x:c r="M6" s="47" t="n">
        <x:v>4456</x:v>
      </x:c>
      <x:c r="N6" s="47" t="n">
        <x:v>1739</x:v>
      </x:c>
      <x:c r="O6" s="47" t="n">
        <x:v>171</x:v>
      </x:c>
      <x:c r="P6" s="47" t="n">
        <x:v>409</x:v>
      </x:c>
      <x:c r="Q6" s="47" t="n">
        <x:v>651</x:v>
      </x:c>
      <x:c r="R6" s="47" t="n">
        <x:v>11</x:v>
      </x:c>
      <x:c r="S6" s="47" t="n">
        <x:v>2061</x:v>
      </x:c>
      <x:c r="T6" s="47" t="n">
        <x:v>129</x:v>
      </x:c>
      <x:c r="U6" s="47" t="n">
        <x:v>14383</x:v>
      </x:c>
      <x:c r="V6" s="47" t="n">
        <x:v>5779</x:v>
      </x:c>
      <x:c r="W6" s="47" t="n">
        <x:v>130</x:v>
      </x:c>
      <x:c r="X6" s="47" t="n">
        <x:v>91</x:v>
      </x:c>
      <x:c r="Y6" s="47" t="n">
        <x:v>476</x:v>
      </x:c>
      <x:c r="Z6" s="47" t="n">
        <x:f>SUM(D6:Y6)</x:f>
        <x:v>919096</x:v>
      </x:c>
      <x:c r="AA6" t="str">
        <x:v>Source time period is not specified; not VAHAN monthly registrations</x:v>
      </x:c>
    </x:row>
    <x:row r="7">
      <x:c r="A7" t="str">
        <x:v>Mumbai (W)</x:v>
      </x:c>
      <x:c r="B7" t="str">
        <x:v>Mumbai (W)</x:v>
      </x:c>
      <x:c r="C7" t="str">
        <x:v>Office / local area</x:v>
      </x:c>
      <x:c r="D7" s="47" t="n">
        <x:v>469074</x:v>
      </x:c>
      <x:c r="E7" s="47" t="n">
        <x:v>254577</x:v>
      </x:c>
      <x:c r="F7" s="47" t="n">
        <x:v>14949</x:v>
      </x:c>
      <x:c r="G7" s="47" t="n">
        <x:v>409380</x:v>
      </x:c>
      <x:c r="H7" s="47" t="n">
        <x:v>17393</x:v>
      </x:c>
      <x:c r="I7" s="47" t="n">
        <x:v>864</x:v>
      </x:c>
      <x:c r="J7" s="47" t="n">
        <x:v>8449</x:v>
      </x:c>
      <x:c r="K7" s="47" t="n">
        <x:v>19892</x:v>
      </x:c>
      <x:c r="L7" s="47" t="n">
        <x:v>65488</x:v>
      </x:c>
      <x:c r="M7" s="47" t="n">
        <x:v>0</x:v>
      </x:c>
      <x:c r="N7" s="47" t="n">
        <x:v>2774</x:v>
      </x:c>
      <x:c r="O7" s="47" t="n">
        <x:v>2354</x:v>
      </x:c>
      <x:c r="P7" s="47" t="n">
        <x:v>372</x:v>
      </x:c>
      <x:c r="Q7" s="47" t="n">
        <x:v>705</x:v>
      </x:c>
      <x:c r="R7" s="47" t="n">
        <x:v>6</x:v>
      </x:c>
      <x:c r="S7" s="47" t="n">
        <x:v>5446</x:v>
      </x:c>
      <x:c r="T7" s="47" t="n">
        <x:v>116</x:v>
      </x:c>
      <x:c r="U7" s="47" t="n">
        <x:v>8009</x:v>
      </x:c>
      <x:c r="V7" s="47" t="n">
        <x:v>23269</x:v>
      </x:c>
      <x:c r="W7" s="47" t="n">
        <x:v>41</x:v>
      </x:c>
      <x:c r="X7" s="47" t="n">
        <x:v>0</x:v>
      </x:c>
      <x:c r="Y7" s="47" t="n">
        <x:v>0</x:v>
      </x:c>
      <x:c r="Z7" s="47" t="n">
        <x:f>SUM(D7:Y7)</x:f>
        <x:v>1303158</x:v>
      </x:c>
      <x:c r="AA7" t="str">
        <x:v>Source time period is not specified; not VAHAN monthly registrations</x:v>
      </x:c>
    </x:row>
    <x:row r="8">
      <x:c r="A8" t="str">
        <x:v>Mumbai (E)</x:v>
      </x:c>
      <x:c r="B8" t="str">
        <x:v>Mumbai (E)</x:v>
      </x:c>
      <x:c r="C8" t="str">
        <x:v>Office / local area</x:v>
      </x:c>
      <x:c r="D8" s="47" t="n">
        <x:v>281800</x:v>
      </x:c>
      <x:c r="E8" s="47" t="n">
        <x:v>124333</x:v>
      </x:c>
      <x:c r="F8" s="47" t="n">
        <x:v>11365</x:v>
      </x:c>
      <x:c r="G8" s="47" t="n">
        <x:v>155806</x:v>
      </x:c>
      <x:c r="H8" s="47" t="n">
        <x:v>5285</x:v>
      </x:c>
      <x:c r="I8" s="47" t="n">
        <x:v>831</x:v>
      </x:c>
      <x:c r="J8" s="47" t="n">
        <x:v>7505</x:v>
      </x:c>
      <x:c r="K8" s="47" t="n">
        <x:v>13197</x:v>
      </x:c>
      <x:c r="L8" s="47" t="n">
        <x:v>59572</x:v>
      </x:c>
      <x:c r="M8" s="47" t="n">
        <x:v>0</x:v>
      </x:c>
      <x:c r="N8" s="47" t="n">
        <x:v>683</x:v>
      </x:c>
      <x:c r="O8" s="47" t="n">
        <x:v>684</x:v>
      </x:c>
      <x:c r="P8" s="47" t="n">
        <x:v>343</x:v>
      </x:c>
      <x:c r="Q8" s="47" t="n">
        <x:v>319</x:v>
      </x:c>
      <x:c r="R8" s="47" t="n">
        <x:v>0</x:v>
      </x:c>
      <x:c r="S8" s="47" t="n">
        <x:v>762</x:v>
      </x:c>
      <x:c r="T8" s="47" t="n">
        <x:v>110</x:v>
      </x:c>
      <x:c r="U8" s="47" t="n">
        <x:v>5509</x:v>
      </x:c>
      <x:c r="V8" s="47" t="n">
        <x:v>8703</x:v>
      </x:c>
      <x:c r="W8" s="47" t="n">
        <x:v>32</x:v>
      </x:c>
      <x:c r="X8" s="47" t="n">
        <x:v>22</x:v>
      </x:c>
      <x:c r="Y8" s="47" t="n">
        <x:v>869</x:v>
      </x:c>
      <x:c r="Z8" s="47" t="n">
        <x:f>SUM(D8:Y8)</x:f>
        <x:v>677730</x:v>
      </x:c>
      <x:c r="AA8" t="str">
        <x:v>Source time period is not specified; not VAHAN monthly registrations</x:v>
      </x:c>
    </x:row>
    <x:row r="9">
      <x:c r="A9" t="str">
        <x:v>Borivali</x:v>
      </x:c>
      <x:c r="B9" t="str">
        <x:v>Borivali</x:v>
      </x:c>
      <x:c r="C9" t="str">
        <x:v>Office / local area</x:v>
      </x:c>
      <x:c r="D9" s="47" t="n">
        <x:v>39560</x:v>
      </x:c>
      <x:c r="E9" s="47" t="n">
        <x:v>35333</x:v>
      </x:c>
      <x:c r="F9" s="47" t="n">
        <x:v>141</x:v>
      </x:c>
      <x:c r="G9" s="47" t="n">
        <x:v>29335</x:v>
      </x:c>
      <x:c r="H9" s="47" t="n">
        <x:v>50</x:v>
      </x:c>
      <x:c r="I9" s="47" t="n">
        <x:v>0</x:v>
      </x:c>
      <x:c r="J9" s="47" t="n">
        <x:v>1572</x:v>
      </x:c>
      <x:c r="K9" s="47" t="n">
        <x:v>5554</x:v>
      </x:c>
      <x:c r="L9" s="47" t="n">
        <x:v>12291</x:v>
      </x:c>
      <x:c r="M9" s="47" t="n">
        <x:v>1</x:v>
      </x:c>
      <x:c r="N9" s="47" t="n">
        <x:v>76</x:v>
      </x:c>
      <x:c r="O9" s="47" t="n">
        <x:v>335</x:v>
      </x:c>
      <x:c r="P9" s="47" t="n">
        <x:v>19</x:v>
      </x:c>
      <x:c r="Q9" s="47" t="n">
        <x:v>34</x:v>
      </x:c>
      <x:c r="R9" s="47" t="n">
        <x:v>91</x:v>
      </x:c>
      <x:c r="S9" s="47" t="n">
        <x:v>0</x:v>
      </x:c>
      <x:c r="T9" s="47" t="n">
        <x:v>0</x:v>
      </x:c>
      <x:c r="U9" s="47" t="n">
        <x:v>2108</x:v>
      </x:c>
      <x:c r="V9" s="47" t="n">
        <x:v>0</x:v>
      </x:c>
      <x:c r="W9" s="47" t="n">
        <x:v>19</x:v>
      </x:c>
      <x:c r="X9" s="47" t="n">
        <x:v>0</x:v>
      </x:c>
      <x:c r="Y9" s="47" t="n">
        <x:v>3</x:v>
      </x:c>
      <x:c r="Z9" s="47" t="n">
        <x:f>SUM(D9:Y9)</x:f>
        <x:v>126522</x:v>
      </x:c>
      <x:c r="AA9" t="str">
        <x:v>Source time period is not specified; not VAHAN monthly registrations</x:v>
      </x:c>
    </x:row>
    <x:row r="10">
      <x:c r="A10" t="str">
        <x:v>Gr. Mumbai</x:v>
      </x:c>
      <x:c r="B10" t="str">
        <x:v>Gr. Mumbai</x:v>
      </x:c>
      <x:c r="C10" t="str">
        <x:v>Region subtotal</x:v>
      </x:c>
      <x:c r="D10" s="47" t="n">
        <x:v>1092783</x:v>
      </x:c>
      <x:c r="E10" s="47" t="n">
        <x:v>617050</x:v>
      </x:c>
      <x:c r="F10" s="47" t="n">
        <x:v>34089</x:v>
      </x:c>
      <x:c r="G10" s="47" t="n">
        <x:v>903371</x:v>
      </x:c>
      <x:c r="H10" s="47" t="n">
        <x:v>32702</x:v>
      </x:c>
      <x:c r="I10" s="47" t="n">
        <x:v>3870</x:v>
      </x:c>
      <x:c r="J10" s="47" t="n">
        <x:v>55230</x:v>
      </x:c>
      <x:c r="K10" s="47" t="n">
        <x:v>55760</x:v>
      </x:c>
      <x:c r="L10" s="47" t="n">
        <x:v>137351</x:v>
      </x:c>
      <x:c r="M10" s="47" t="n">
        <x:v>4457</x:v>
      </x:c>
      <x:c r="N10" s="47" t="n">
        <x:v>5272</x:v>
      </x:c>
      <x:c r="O10" s="47" t="n">
        <x:v>3544</x:v>
      </x:c>
      <x:c r="P10" s="47" t="n">
        <x:v>1143</x:v>
      </x:c>
      <x:c r="Q10" s="47" t="n">
        <x:v>1709</x:v>
      </x:c>
      <x:c r="R10" s="47" t="n">
        <x:v>108</x:v>
      </x:c>
      <x:c r="S10" s="47" t="n">
        <x:v>8269</x:v>
      </x:c>
      <x:c r="T10" s="47" t="n">
        <x:v>355</x:v>
      </x:c>
      <x:c r="U10" s="47" t="n">
        <x:v>30009</x:v>
      </x:c>
      <x:c r="V10" s="47" t="n">
        <x:v>37751</x:v>
      </x:c>
      <x:c r="W10" s="47" t="n">
        <x:v>222</x:v>
      </x:c>
      <x:c r="X10" s="47" t="n">
        <x:v>113</x:v>
      </x:c>
      <x:c r="Y10" s="47" t="n">
        <x:v>1348</x:v>
      </x:c>
      <x:c r="Z10" s="47" t="n">
        <x:f>SUM(D10:Y10)</x:f>
        <x:v>3026506</x:v>
      </x:c>
      <x:c r="AA10" t="str">
        <x:v>Aggregates other offices; do not double-count with local office records</x:v>
      </x:c>
    </x:row>
    <x:row r="11">
      <x:c r="A11" t="str">
        <x:v>Thane</x:v>
      </x:c>
      <x:c r="B11" t="str">
        <x:v>Thane</x:v>
      </x:c>
      <x:c r="C11" t="str">
        <x:v>Office / local area</x:v>
      </x:c>
      <x:c r="D11" s="47" t="n">
        <x:v>789801</x:v>
      </x:c>
      <x:c r="E11" s="47" t="n">
        <x:v>271642</x:v>
      </x:c>
      <x:c r="F11" s="47" t="n">
        <x:v>13921</x:v>
      </x:c>
      <x:c r="G11" s="47" t="n">
        <x:v>404645</x:v>
      </x:c>
      <x:c r="H11" s="47" t="n">
        <x:v>45390</x:v>
      </x:c>
      <x:c r="I11" s="47" t="n">
        <x:v>5469</x:v>
      </x:c>
      <x:c r="J11" s="47" t="n">
        <x:v>4299</x:v>
      </x:c>
      <x:c r="K11" s="47" t="n">
        <x:v>35835</x:v>
      </x:c>
      <x:c r="L11" s="47" t="n">
        <x:v>94549</x:v>
      </x:c>
      <x:c r="M11" s="47" t="n">
        <x:v>1341</x:v>
      </x:c>
      <x:c r="N11" s="47" t="n">
        <x:v>12302</x:v>
      </x:c>
      <x:c r="O11" s="47" t="n">
        <x:v>1192</x:v>
      </x:c>
      <x:c r="P11" s="47" t="n">
        <x:v>1728</x:v>
      </x:c>
      <x:c r="Q11" s="47" t="n">
        <x:v>1701</x:v>
      </x:c>
      <x:c r="R11" s="47" t="n">
        <x:v>10613</x:v>
      </x:c>
      <x:c r="S11" s="47" t="n">
        <x:v>75779</x:v>
      </x:c>
      <x:c r="T11" s="47" t="n">
        <x:v>12704</x:v>
      </x:c>
      <x:c r="U11" s="47" t="n">
        <x:v>70076</x:v>
      </x:c>
      <x:c r="V11" s="47" t="n">
        <x:v>57487</x:v>
      </x:c>
      <x:c r="W11" s="47" t="n">
        <x:v>1568</x:v>
      </x:c>
      <x:c r="X11" s="47" t="n">
        <x:v>8693</x:v>
      </x:c>
      <x:c r="Y11" s="47" t="n">
        <x:v>3045</x:v>
      </x:c>
      <x:c r="Z11" s="47" t="n">
        <x:f>SUM(D11:Y11)</x:f>
        <x:v>1923780</x:v>
      </x:c>
      <x:c r="AA11" t="str">
        <x:v>Source time period is not specified; not VAHAN monthly registrations</x:v>
      </x:c>
    </x:row>
    <x:row r="12">
      <x:c r="A12" t="str">
        <x:v>Kalyan</x:v>
      </x:c>
      <x:c r="B12" t="str">
        <x:v>Kalyan</x:v>
      </x:c>
      <x:c r="C12" t="str">
        <x:v>Office / local area</x:v>
      </x:c>
      <x:c r="D12" s="47" t="n">
        <x:v>519753</x:v>
      </x:c>
      <x:c r="E12" s="47" t="n">
        <x:v>73704</x:v>
      </x:c>
      <x:c r="F12" s="47" t="n">
        <x:v>7749</x:v>
      </x:c>
      <x:c r="G12" s="47" t="n">
        <x:v>105615</x:v>
      </x:c>
      <x:c r="H12" s="47" t="n">
        <x:v>4099</x:v>
      </x:c>
      <x:c r="I12" s="47" t="n">
        <x:v>129</x:v>
      </x:c>
      <x:c r="J12" s="47" t="n">
        <x:v>951</x:v>
      </x:c>
      <x:c r="K12" s="47" t="n">
        <x:v>5640</x:v>
      </x:c>
      <x:c r="L12" s="47" t="n">
        <x:v>45160</x:v>
      </x:c>
      <x:c r="M12" s="47" t="n">
        <x:v>2023</x:v>
      </x:c>
      <x:c r="N12" s="47" t="n">
        <x:v>956</x:v>
      </x:c>
      <x:c r="O12" s="47" t="n">
        <x:v>475</x:v>
      </x:c>
      <x:c r="P12" s="47" t="n">
        <x:v>233</x:v>
      </x:c>
      <x:c r="Q12" s="47" t="n">
        <x:v>465</x:v>
      </x:c>
      <x:c r="R12" s="47" t="n">
        <x:v>357</x:v>
      </x:c>
      <x:c r="S12" s="47" t="n">
        <x:v>10278</x:v>
      </x:c>
      <x:c r="T12" s="47" t="n">
        <x:v>1175</x:v>
      </x:c>
      <x:c r="U12" s="47" t="n">
        <x:v>8538</x:v>
      </x:c>
      <x:c r="V12" s="47" t="n">
        <x:v>16491</x:v>
      </x:c>
      <x:c r="W12" s="47" t="n">
        <x:v>936</x:v>
      </x:c>
      <x:c r="X12" s="47" t="n">
        <x:v>406</x:v>
      </x:c>
      <x:c r="Y12" s="47" t="n">
        <x:v>763</x:v>
      </x:c>
      <x:c r="Z12" s="47" t="n">
        <x:f>SUM(D12:Y12)</x:f>
        <x:v>805896</x:v>
      </x:c>
      <x:c r="AA12" t="str">
        <x:v>Source time period is not specified; not VAHAN monthly registrations</x:v>
      </x:c>
    </x:row>
    <x:row r="13">
      <x:c r="A13" t="str">
        <x:v>Vashi N.mumbai</x:v>
      </x:c>
      <x:c r="B13" t="str">
        <x:v>Vashi N.mumbai</x:v>
      </x:c>
      <x:c r="C13" t="str">
        <x:v>Office / local area</x:v>
      </x:c>
      <x:c r="D13" s="47" t="n">
        <x:v>174142</x:v>
      </x:c>
      <x:c r="E13" s="47" t="n">
        <x:v>11253</x:v>
      </x:c>
      <x:c r="F13" s="47" t="n">
        <x:v>5</x:v>
      </x:c>
      <x:c r="G13" s="47" t="n">
        <x:v>106737</x:v>
      </x:c>
      <x:c r="H13" s="47" t="n">
        <x:v>4075</x:v>
      </x:c>
      <x:c r="I13" s="47" t="n">
        <x:v>570</x:v>
      </x:c>
      <x:c r="J13" s="47" t="n">
        <x:v>2527</x:v>
      </x:c>
      <x:c r="K13" s="47" t="n">
        <x:v>10110</x:v>
      </x:c>
      <x:c r="L13" s="47" t="n">
        <x:v>17998</x:v>
      </x:c>
      <x:c r="M13" s="47" t="n">
        <x:v>253</x:v>
      </x:c>
      <x:c r="N13" s="47" t="n">
        <x:v>3674</x:v>
      </x:c>
      <x:c r="O13" s="47" t="n">
        <x:v>862</x:v>
      </x:c>
      <x:c r="P13" s="47" t="n">
        <x:v>365</x:v>
      </x:c>
      <x:c r="Q13" s="47" t="n">
        <x:v>311</x:v>
      </x:c>
      <x:c r="R13" s="47" t="n">
        <x:v>4655</x:v>
      </x:c>
      <x:c r="S13" s="47" t="n">
        <x:v>16674</x:v>
      </x:c>
      <x:c r="T13" s="47" t="n">
        <x:v>4894</x:v>
      </x:c>
      <x:c r="U13" s="47" t="n">
        <x:v>4935</x:v>
      </x:c>
      <x:c r="V13" s="47" t="n">
        <x:v>17865</x:v>
      </x:c>
      <x:c r="W13" s="47" t="n">
        <x:v>68</x:v>
      </x:c>
      <x:c r="X13" s="47" t="n">
        <x:v>3426</x:v>
      </x:c>
      <x:c r="Y13" s="47" t="n">
        <x:v>223</x:v>
      </x:c>
      <x:c r="Z13" s="47" t="n">
        <x:f>SUM(D13:Y13)</x:f>
        <x:v>385622</x:v>
      </x:c>
      <x:c r="AA13" t="str">
        <x:v>Source time period is not specified; not VAHAN monthly registrations</x:v>
      </x:c>
    </x:row>
    <x:row r="14">
      <x:c r="A14" t="str">
        <x:v>Vasai</x:v>
      </x:c>
      <x:c r="B14" t="str">
        <x:v>Vasai</x:v>
      </x:c>
      <x:c r="C14" t="str">
        <x:v>Office / local area</x:v>
      </x:c>
      <x:c r="D14" s="47" t="n">
        <x:v>179468</x:v>
      </x:c>
      <x:c r="E14" s="47" t="n">
        <x:v>45602</x:v>
      </x:c>
      <x:c r="F14" s="47" t="n">
        <x:v>678</x:v>
      </x:c>
      <x:c r="G14" s="47" t="n">
        <x:v>48228</x:v>
      </x:c>
      <x:c r="H14" s="47" t="n">
        <x:v>206</x:v>
      </x:c>
      <x:c r="I14" s="47" t="n">
        <x:v>73</x:v>
      </x:c>
      <x:c r="J14" s="47" t="n">
        <x:v>562</x:v>
      </x:c>
      <x:c r="K14" s="47" t="n">
        <x:v>3208</x:v>
      </x:c>
      <x:c r="L14" s="47" t="n">
        <x:v>9703</x:v>
      </x:c>
      <x:c r="M14" s="47" t="n">
        <x:v>823</x:v>
      </x:c>
      <x:c r="N14" s="47" t="n">
        <x:v>852</x:v>
      </x:c>
      <x:c r="O14" s="47" t="n">
        <x:v>189</x:v>
      </x:c>
      <x:c r="P14" s="47" t="n">
        <x:v>463</x:v>
      </x:c>
      <x:c r="Q14" s="47" t="n">
        <x:v>229</x:v>
      </x:c>
      <x:c r="R14" s="47" t="n">
        <x:v>1298</x:v>
      </x:c>
      <x:c r="S14" s="47" t="n">
        <x:v>2835</x:v>
      </x:c>
      <x:c r="T14" s="47" t="n">
        <x:v>154</x:v>
      </x:c>
      <x:c r="U14" s="47" t="n">
        <x:v>12800</x:v>
      </x:c>
      <x:c r="V14" s="47" t="n">
        <x:v>2019</x:v>
      </x:c>
      <x:c r="W14" s="47" t="n">
        <x:v>136</x:v>
      </x:c>
      <x:c r="X14" s="47" t="n">
        <x:v>59</x:v>
      </x:c>
      <x:c r="Y14" s="47" t="n">
        <x:v>542</x:v>
      </x:c>
      <x:c r="Z14" s="47" t="n">
        <x:f>SUM(D14:Y14)</x:f>
        <x:v>310127</x:v>
      </x:c>
      <x:c r="AA14" t="str">
        <x:v>Source time period is not specified; not VAHAN monthly registrations</x:v>
      </x:c>
    </x:row>
    <x:row r="15">
      <x:c r="A15" t="str">
        <x:v>Thane Region</x:v>
      </x:c>
      <x:c r="B15" t="str">
        <x:v>Thane Region</x:v>
      </x:c>
      <x:c r="C15" t="str">
        <x:v>Region subtotal</x:v>
      </x:c>
      <x:c r="D15" s="47" t="n">
        <x:v>1663164</x:v>
      </x:c>
      <x:c r="E15" s="47" t="n">
        <x:v>402201</x:v>
      </x:c>
      <x:c r="F15" s="47" t="n">
        <x:v>22353</x:v>
      </x:c>
      <x:c r="G15" s="47" t="n">
        <x:v>665225</x:v>
      </x:c>
      <x:c r="H15" s="47" t="n">
        <x:v>53770</x:v>
      </x:c>
      <x:c r="I15" s="47" t="n">
        <x:v>6241</x:v>
      </x:c>
      <x:c r="J15" s="47" t="n">
        <x:v>8339</x:v>
      </x:c>
      <x:c r="K15" s="47" t="n">
        <x:v>54793</x:v>
      </x:c>
      <x:c r="L15" s="47" t="n">
        <x:v>167410</x:v>
      </x:c>
      <x:c r="M15" s="47" t="n">
        <x:v>4440</x:v>
      </x:c>
      <x:c r="N15" s="47" t="n">
        <x:v>17784</x:v>
      </x:c>
      <x:c r="O15" s="47" t="n">
        <x:v>2718</x:v>
      </x:c>
      <x:c r="P15" s="47" t="n">
        <x:v>2789</x:v>
      </x:c>
      <x:c r="Q15" s="47" t="n">
        <x:v>2706</x:v>
      </x:c>
      <x:c r="R15" s="47" t="n">
        <x:v>16923</x:v>
      </x:c>
      <x:c r="S15" s="47" t="n">
        <x:v>105566</x:v>
      </x:c>
      <x:c r="T15" s="47" t="n">
        <x:v>18927</x:v>
      </x:c>
      <x:c r="U15" s="47" t="n">
        <x:v>96349</x:v>
      </x:c>
      <x:c r="V15" s="47" t="n">
        <x:v>93862</x:v>
      </x:c>
      <x:c r="W15" s="47" t="n">
        <x:v>2708</x:v>
      </x:c>
      <x:c r="X15" s="47" t="n">
        <x:v>12584</x:v>
      </x:c>
      <x:c r="Y15" s="47" t="n">
        <x:v>4573</x:v>
      </x:c>
      <x:c r="Z15" s="47" t="n">
        <x:f>SUM(D15:Y15)</x:f>
        <x:v>3425425</x:v>
      </x:c>
      <x:c r="AA15" t="str">
        <x:v>Reported grouping is a subtotal; do not add to office records</x:v>
      </x:c>
    </x:row>
    <x:row r="16">
      <x:c r="A16" t="str">
        <x:v>Panvel</x:v>
      </x:c>
      <x:c r="B16" t="str">
        <x:v>Panvel</x:v>
      </x:c>
      <x:c r="C16" t="str">
        <x:v>Office / local area</x:v>
      </x:c>
      <x:c r="D16" s="47" t="n">
        <x:v>169188</x:v>
      </x:c>
      <x:c r="E16" s="47" t="n">
        <x:v>9537</x:v>
      </x:c>
      <x:c r="F16" s="47" t="n">
        <x:v>5</x:v>
      </x:c>
      <x:c r="G16" s="47" t="n">
        <x:v>92535</x:v>
      </x:c>
      <x:c r="H16" s="47" t="n">
        <x:v>465</x:v>
      </x:c>
      <x:c r="I16" s="47" t="n">
        <x:v>0</x:v>
      </x:c>
      <x:c r="J16" s="47" t="n">
        <x:v>479</x:v>
      </x:c>
      <x:c r="K16" s="47" t="n">
        <x:v>7650</x:v>
      </x:c>
      <x:c r="L16" s="47" t="n">
        <x:v>14943</x:v>
      </x:c>
      <x:c r="M16" s="47" t="n">
        <x:v>87</x:v>
      </x:c>
      <x:c r="N16" s="47" t="n">
        <x:v>406</x:v>
      </x:c>
      <x:c r="O16" s="47" t="n">
        <x:v>1135</x:v>
      </x:c>
      <x:c r="P16" s="47" t="n">
        <x:v>257</x:v>
      </x:c>
      <x:c r="Q16" s="47" t="n">
        <x:v>293</x:v>
      </x:c>
      <x:c r="R16" s="47" t="n">
        <x:v>23797</x:v>
      </x:c>
      <x:c r="S16" s="47" t="n">
        <x:v>23670</x:v>
      </x:c>
      <x:c r="T16" s="47" t="n">
        <x:v>2520</x:v>
      </x:c>
      <x:c r="U16" s="47" t="n">
        <x:v>8630</x:v>
      </x:c>
      <x:c r="V16" s="47" t="n">
        <x:v>3024</x:v>
      </x:c>
      <x:c r="W16" s="47" t="n">
        <x:v>404</x:v>
      </x:c>
      <x:c r="X16" s="47" t="n">
        <x:v>84</x:v>
      </x:c>
      <x:c r="Y16" s="47" t="n">
        <x:v>1804</x:v>
      </x:c>
      <x:c r="Z16" s="47" t="n">
        <x:f>SUM(D16:Y16)</x:f>
        <x:v>360913</x:v>
      </x:c>
      <x:c r="AA16" t="str">
        <x:v>Source time period is not specified; not VAHAN monthly registrations</x:v>
      </x:c>
    </x:row>
    <x:row r="17">
      <x:c r="A17" t="str">
        <x:v>Pen- Raigad</x:v>
      </x:c>
      <x:c r="B17" t="str">
        <x:v>Pen- Raigad</x:v>
      </x:c>
      <x:c r="C17" t="str">
        <x:v>Office / local area</x:v>
      </x:c>
      <x:c r="D17" s="47" t="n">
        <x:v>207528</x:v>
      </x:c>
      <x:c r="E17" s="47" t="n">
        <x:v>31264</x:v>
      </x:c>
      <x:c r="F17" s="47" t="n">
        <x:v>1414</x:v>
      </x:c>
      <x:c r="G17" s="47" t="n">
        <x:v>38909</x:v>
      </x:c>
      <x:c r="H17" s="47" t="n">
        <x:v>12593</x:v>
      </x:c>
      <x:c r="I17" s="47" t="n">
        <x:v>251</x:v>
      </x:c>
      <x:c r="J17" s="47" t="n">
        <x:v>51</x:v>
      </x:c>
      <x:c r="K17" s="47" t="n">
        <x:v>6602</x:v>
      </x:c>
      <x:c r="L17" s="47" t="n">
        <x:v>10578</x:v>
      </x:c>
      <x:c r="M17" s="47" t="n">
        <x:v>1097</x:v>
      </x:c>
      <x:c r="N17" s="47" t="n">
        <x:v>418</x:v>
      </x:c>
      <x:c r="O17" s="47" t="n">
        <x:v>472</x:v>
      </x:c>
      <x:c r="P17" s="47" t="n">
        <x:v>241</x:v>
      </x:c>
      <x:c r="Q17" s="47" t="n">
        <x:v>290</x:v>
      </x:c>
      <x:c r="R17" s="47" t="n">
        <x:v>882</x:v>
      </x:c>
      <x:c r="S17" s="47" t="n">
        <x:v>7902</x:v>
      </x:c>
      <x:c r="T17" s="47" t="n">
        <x:v>955</x:v>
      </x:c>
      <x:c r="U17" s="47" t="n">
        <x:v>10152</x:v>
      </x:c>
      <x:c r="V17" s="47" t="n">
        <x:v>3826</x:v>
      </x:c>
      <x:c r="W17" s="47" t="n">
        <x:v>1434</x:v>
      </x:c>
      <x:c r="X17" s="47" t="n">
        <x:v>2327</x:v>
      </x:c>
      <x:c r="Y17" s="47" t="n">
        <x:v>2927</x:v>
      </x:c>
      <x:c r="Z17" s="47" t="n">
        <x:f>SUM(D17:Y17)</x:f>
        <x:v>342113</x:v>
      </x:c>
      <x:c r="AA17" t="str">
        <x:v>Source time period is not specified; not VAHAN monthly registrations</x:v>
      </x:c>
    </x:row>
    <x:row r="18">
      <x:c r="A18" t="str">
        <x:v>Ratna- giri</x:v>
      </x:c>
      <x:c r="B18" t="str">
        <x:v>Ratna- giri</x:v>
      </x:c>
      <x:c r="C18" t="str">
        <x:v>Office / local area</x:v>
      </x:c>
      <x:c r="D18" s="47" t="n">
        <x:v>146887</x:v>
      </x:c>
      <x:c r="E18" s="47" t="n">
        <x:v>58978</x:v>
      </x:c>
      <x:c r="F18" s="47" t="n">
        <x:v>7910</x:v>
      </x:c>
      <x:c r="G18" s="47" t="n">
        <x:v>31773</x:v>
      </x:c>
      <x:c r="H18" s="47" t="n">
        <x:v>10437</x:v>
      </x:c>
      <x:c r="I18" s="47" t="n">
        <x:v>508</x:v>
      </x:c>
      <x:c r="J18" s="47" t="n">
        <x:v>55</x:v>
      </x:c>
      <x:c r="K18" s="47" t="n">
        <x:v>584</x:v>
      </x:c>
      <x:c r="L18" s="47" t="n">
        <x:v>12951</x:v>
      </x:c>
      <x:c r="M18" s="47" t="n">
        <x:v>45</x:v>
      </x:c>
      <x:c r="N18" s="47" t="n">
        <x:v>579</x:v>
      </x:c>
      <x:c r="O18" s="47" t="n">
        <x:v>177</x:v>
      </x:c>
      <x:c r="P18" s="47" t="n">
        <x:v>114</x:v>
      </x:c>
      <x:c r="Q18" s="47" t="n">
        <x:v>349</x:v>
      </x:c>
      <x:c r="R18" s="47" t="n">
        <x:v>92</x:v>
      </x:c>
      <x:c r="S18" s="47" t="n">
        <x:v>8109</x:v>
      </x:c>
      <x:c r="T18" s="47" t="n">
        <x:v>200</x:v>
      </x:c>
      <x:c r="U18" s="47" t="n">
        <x:v>10795</x:v>
      </x:c>
      <x:c r="V18" s="47" t="n">
        <x:v>6720</x:v>
      </x:c>
      <x:c r="W18" s="47" t="n">
        <x:v>734</x:v>
      </x:c>
      <x:c r="X18" s="47" t="n">
        <x:v>606</x:v>
      </x:c>
      <x:c r="Y18" s="47" t="n">
        <x:v>7079</x:v>
      </x:c>
      <x:c r="Z18" s="47" t="n">
        <x:f>SUM(D18:Y18)</x:f>
        <x:v>305682</x:v>
      </x:c>
      <x:c r="AA18" t="str">
        <x:v>Source time period is not specified; not VAHAN monthly registrations</x:v>
      </x:c>
    </x:row>
    <x:row r="19">
      <x:c r="A19" t="str">
        <x:v>Sindhu- durg</x:v>
      </x:c>
      <x:c r="B19" t="str">
        <x:v>Sindhu- durg</x:v>
      </x:c>
      <x:c r="C19" t="str">
        <x:v>Office / local area</x:v>
      </x:c>
      <x:c r="D19" s="47" t="n">
        <x:v>97999</x:v>
      </x:c>
      <x:c r="E19" s="47" t="n">
        <x:v>41043</x:v>
      </x:c>
      <x:c r="F19" s="47" t="n">
        <x:v>4853</x:v>
      </x:c>
      <x:c r="G19" s="47" t="n">
        <x:v>14957</x:v>
      </x:c>
      <x:c r="H19" s="47" t="n">
        <x:v>3250</x:v>
      </x:c>
      <x:c r="I19" s="47" t="n">
        <x:v>725</x:v>
      </x:c>
      <x:c r="J19" s="47" t="n">
        <x:v>306</x:v>
      </x:c>
      <x:c r="K19" s="47" t="n">
        <x:v>86</x:v>
      </x:c>
      <x:c r="L19" s="47" t="n">
        <x:v>10177</x:v>
      </x:c>
      <x:c r="M19" s="47" t="n">
        <x:v>1915</x:v>
      </x:c>
      <x:c r="N19" s="47" t="n">
        <x:v>152</x:v>
      </x:c>
      <x:c r="O19" s="47" t="n">
        <x:v>59</x:v>
      </x:c>
      <x:c r="P19" s="47" t="n">
        <x:v>59</x:v>
      </x:c>
      <x:c r="Q19" s="47" t="n">
        <x:v>120</x:v>
      </x:c>
      <x:c r="R19" s="47" t="n">
        <x:v>4</x:v>
      </x:c>
      <x:c r="S19" s="47" t="n">
        <x:v>4612</x:v>
      </x:c>
      <x:c r="T19" s="47" t="n">
        <x:v>44</x:v>
      </x:c>
      <x:c r="U19" s="47" t="n">
        <x:v>5698</x:v>
      </x:c>
      <x:c r="V19" s="47" t="n">
        <x:v>1758</x:v>
      </x:c>
      <x:c r="W19" s="47" t="n">
        <x:v>583</x:v>
      </x:c>
      <x:c r="X19" s="47" t="n">
        <x:v>394</x:v>
      </x:c>
      <x:c r="Y19" s="47" t="n">
        <x:v>244</x:v>
      </x:c>
      <x:c r="Z19" s="47" t="n">
        <x:f>SUM(D19:Y19)</x:f>
        <x:v>189038</x:v>
      </x:c>
      <x:c r="AA19" t="str">
        <x:v>Source time period is not specified; not VAHAN monthly registrations</x:v>
      </x:c>
    </x:row>
    <x:row r="20">
      <x:c r="A20" t="str">
        <x:v>Panvel Region</x:v>
      </x:c>
      <x:c r="B20" t="str">
        <x:v>Panvel Region</x:v>
      </x:c>
      <x:c r="C20" t="str">
        <x:v>Region subtotal</x:v>
      </x:c>
      <x:c r="D20" s="47" t="n">
        <x:v>621602</x:v>
      </x:c>
      <x:c r="E20" s="47" t="n">
        <x:v>140822</x:v>
      </x:c>
      <x:c r="F20" s="47" t="n">
        <x:v>14182</x:v>
      </x:c>
      <x:c r="G20" s="47" t="n">
        <x:v>178174</x:v>
      </x:c>
      <x:c r="H20" s="47" t="n">
        <x:v>26745</x:v>
      </x:c>
      <x:c r="I20" s="47" t="n">
        <x:v>1484</x:v>
      </x:c>
      <x:c r="J20" s="47" t="n">
        <x:v>891</x:v>
      </x:c>
      <x:c r="K20" s="47" t="n">
        <x:v>14922</x:v>
      </x:c>
      <x:c r="L20" s="47" t="n">
        <x:v>48649</x:v>
      </x:c>
      <x:c r="M20" s="47" t="n">
        <x:v>3144</x:v>
      </x:c>
      <x:c r="N20" s="47" t="n">
        <x:v>1555</x:v>
      </x:c>
      <x:c r="O20" s="47" t="n">
        <x:v>1843</x:v>
      </x:c>
      <x:c r="P20" s="47" t="n">
        <x:v>671</x:v>
      </x:c>
      <x:c r="Q20" s="47" t="n">
        <x:v>1052</x:v>
      </x:c>
      <x:c r="R20" s="47" t="n">
        <x:v>24775</x:v>
      </x:c>
      <x:c r="S20" s="47" t="n">
        <x:v>44293</x:v>
      </x:c>
      <x:c r="T20" s="47" t="n">
        <x:v>3719</x:v>
      </x:c>
      <x:c r="U20" s="47" t="n">
        <x:v>35275</x:v>
      </x:c>
      <x:c r="V20" s="47" t="n">
        <x:v>15328</x:v>
      </x:c>
      <x:c r="W20" s="47" t="n">
        <x:v>3155</x:v>
      </x:c>
      <x:c r="X20" s="47" t="n">
        <x:v>3411</x:v>
      </x:c>
      <x:c r="Y20" s="47" t="n">
        <x:v>12054</x:v>
      </x:c>
      <x:c r="Z20" s="47" t="n">
        <x:f>SUM(D20:Y20)</x:f>
        <x:v>1197746</x:v>
      </x:c>
      <x:c r="AA20" t="str">
        <x:v>Reported grouping is a subtotal; do not add to office records</x:v>
      </x:c>
    </x:row>
    <x:row r="21">
      <x:c r="A21" t="str">
        <x:v>Kolhapur</x:v>
      </x:c>
      <x:c r="B21" t="str">
        <x:v>Kolhapur</x:v>
      </x:c>
      <x:c r="C21" t="str">
        <x:v>Office / local area</x:v>
      </x:c>
      <x:c r="D21" s="47" t="n">
        <x:v>803593</x:v>
      </x:c>
      <x:c r="E21" s="47" t="n">
        <x:v>127436</x:v>
      </x:c>
      <x:c r="F21" s="47" t="n">
        <x:v>54852</x:v>
      </x:c>
      <x:c r="G21" s="47" t="n">
        <x:v>102577</x:v>
      </x:c>
      <x:c r="H21" s="47" t="n">
        <x:v>20746</x:v>
      </x:c>
      <x:c r="I21" s="47" t="n">
        <x:v>67</x:v>
      </x:c>
      <x:c r="J21" s="47" t="n">
        <x:v>400</x:v>
      </x:c>
      <x:c r="K21" s="47" t="n">
        <x:v>933</x:v>
      </x:c>
      <x:c r="L21" s="47" t="n">
        <x:v>15841</x:v>
      </x:c>
      <x:c r="M21" s="47" t="n">
        <x:v>914</x:v>
      </x:c>
      <x:c r="N21" s="47" t="n">
        <x:v>1370</x:v>
      </x:c>
      <x:c r="O21" s="47" t="n">
        <x:v>562</x:v>
      </x:c>
      <x:c r="P21" s="47" t="n">
        <x:v>251</x:v>
      </x:c>
      <x:c r="Q21" s="47" t="n">
        <x:v>357</x:v>
      </x:c>
      <x:c r="R21" s="47" t="n">
        <x:v>866</x:v>
      </x:c>
      <x:c r="S21" s="47" t="n">
        <x:v>18621</x:v>
      </x:c>
      <x:c r="T21" s="47" t="n">
        <x:v>1013</x:v>
      </x:c>
      <x:c r="U21" s="47" t="n">
        <x:v>19333</x:v>
      </x:c>
      <x:c r="V21" s="47" t="n">
        <x:v>12342</x:v>
      </x:c>
      <x:c r="W21" s="47" t="n">
        <x:v>39821</x:v>
      </x:c>
      <x:c r="X21" s="47" t="n">
        <x:v>32577</x:v>
      </x:c>
      <x:c r="Y21" s="47" t="n">
        <x:v>2886</x:v>
      </x:c>
      <x:c r="Z21" s="47" t="n">
        <x:f>SUM(D21:Y21)</x:f>
        <x:v>1257358</x:v>
      </x:c>
      <x:c r="AA21" t="str">
        <x:v>Source time period is not specified; not VAHAN monthly registrations</x:v>
      </x:c>
    </x:row>
    <x:row r="22">
      <x:c r="A22" t="str">
        <x:v>Sangli</x:v>
      </x:c>
      <x:c r="B22" t="str">
        <x:v>Sangli</x:v>
      </x:c>
      <x:c r="C22" t="str">
        <x:v>Office / local area</x:v>
      </x:c>
      <x:c r="D22" s="47" t="n">
        <x:v>434137</x:v>
      </x:c>
      <x:c r="E22" s="47" t="n">
        <x:v>83647</x:v>
      </x:c>
      <x:c r="F22" s="47" t="n">
        <x:v>51634</x:v>
      </x:c>
      <x:c r="G22" s="47" t="n">
        <x:v>62881</x:v>
      </x:c>
      <x:c r="H22" s="47" t="n">
        <x:v>22080</x:v>
      </x:c>
      <x:c r="I22" s="47" t="n">
        <x:v>352</x:v>
      </x:c>
      <x:c r="J22" s="47" t="n">
        <x:v>501</x:v>
      </x:c>
      <x:c r="K22" s="47" t="n">
        <x:v>1554</x:v>
      </x:c>
      <x:c r="L22" s="47" t="n">
        <x:v>9128</x:v>
      </x:c>
      <x:c r="M22" s="47" t="n">
        <x:v>870</x:v>
      </x:c>
      <x:c r="N22" s="47" t="n">
        <x:v>79</x:v>
      </x:c>
      <x:c r="O22" s="47" t="n">
        <x:v>504</x:v>
      </x:c>
      <x:c r="P22" s="47" t="n">
        <x:v>79</x:v>
      </x:c>
      <x:c r="Q22" s="47" t="n">
        <x:v>195</x:v>
      </x:c>
      <x:c r="R22" s="47" t="n">
        <x:v>172</x:v>
      </x:c>
      <x:c r="S22" s="47" t="n">
        <x:v>9650</x:v>
      </x:c>
      <x:c r="T22" s="47" t="n">
        <x:v>823</x:v>
      </x:c>
      <x:c r="U22" s="47" t="n">
        <x:v>16419</x:v>
      </x:c>
      <x:c r="V22" s="47" t="n">
        <x:v>7359</x:v>
      </x:c>
      <x:c r="W22" s="47" t="n">
        <x:v>28448</x:v>
      </x:c>
      <x:c r="X22" s="47" t="n">
        <x:v>18588</x:v>
      </x:c>
      <x:c r="Y22" s="47" t="n">
        <x:v>1187</x:v>
      </x:c>
      <x:c r="Z22" s="47" t="n">
        <x:f>SUM(D22:Y22)</x:f>
        <x:v>750287</x:v>
      </x:c>
      <x:c r="AA22" t="str">
        <x:v>Source time period is not specified; not VAHAN monthly registrations</x:v>
      </x:c>
    </x:row>
    <x:row r="23">
      <x:c r="A23" t="str">
        <x:v>Satara</x:v>
      </x:c>
      <x:c r="B23" t="str">
        <x:v>Satara</x:v>
      </x:c>
      <x:c r="C23" t="str">
        <x:v>Office / local area</x:v>
      </x:c>
      <x:c r="D23" s="47" t="n">
        <x:v>420140</x:v>
      </x:c>
      <x:c r="E23" s="47" t="n">
        <x:v>66504</x:v>
      </x:c>
      <x:c r="F23" s="47" t="n">
        <x:v>58190</x:v>
      </x:c>
      <x:c r="G23" s="47" t="n">
        <x:v>51370</x:v>
      </x:c>
      <x:c r="H23" s="47" t="n">
        <x:v>17533</x:v>
      </x:c>
      <x:c r="I23" s="47" t="n">
        <x:v>74</x:v>
      </x:c>
      <x:c r="J23" s="47" t="n">
        <x:v>926</x:v>
      </x:c>
      <x:c r="K23" s="47" t="n">
        <x:v>3202</x:v>
      </x:c>
      <x:c r="L23" s="47" t="n">
        <x:v>7392</x:v>
      </x:c>
      <x:c r="M23" s="47" t="n">
        <x:v>836</x:v>
      </x:c>
      <x:c r="N23" s="47" t="n">
        <x:v>268</x:v>
      </x:c>
      <x:c r="O23" s="47" t="n">
        <x:v>482</x:v>
      </x:c>
      <x:c r="P23" s="47" t="n">
        <x:v>69</x:v>
      </x:c>
      <x:c r="Q23" s="47" t="n">
        <x:v>215</x:v>
      </x:c>
      <x:c r="R23" s="47" t="n">
        <x:v>0</x:v>
      </x:c>
      <x:c r="S23" s="47" t="n">
        <x:v>8149</x:v>
      </x:c>
      <x:c r="T23" s="47" t="n">
        <x:v>302</x:v>
      </x:c>
      <x:c r="U23" s="47" t="n">
        <x:v>14509</x:v>
      </x:c>
      <x:c r="V23" s="47" t="n">
        <x:v>6631</x:v>
      </x:c>
      <x:c r="W23" s="47" t="n">
        <x:v>25839</x:v>
      </x:c>
      <x:c r="X23" s="47" t="n">
        <x:v>18652</x:v>
      </x:c>
      <x:c r="Y23" s="47" t="n">
        <x:v>1261</x:v>
      </x:c>
      <x:c r="Z23" s="47" t="n">
        <x:f>SUM(D23:Y23)</x:f>
        <x:v>702544</x:v>
      </x:c>
      <x:c r="AA23" t="str">
        <x:v>Source time period is not specified; not VAHAN monthly registrations</x:v>
      </x:c>
    </x:row>
    <x:row r="24">
      <x:c r="A24" t="str">
        <x:v>Karad</x:v>
      </x:c>
      <x:c r="B24" t="str">
        <x:v>Karad</x:v>
      </x:c>
      <x:c r="C24" t="str">
        <x:v>Office / local area</x:v>
      </x:c>
      <x:c r="D24" s="47" t="n">
        <x:v>100919</x:v>
      </x:c>
      <x:c r="E24" s="47" t="n">
        <x:v>4797</x:v>
      </x:c>
      <x:c r="F24" s="47" t="n">
        <x:v>4387</x:v>
      </x:c>
      <x:c r="G24" s="47" t="n">
        <x:v>17097</x:v>
      </x:c>
      <x:c r="H24" s="47" t="n">
        <x:v>2045</x:v>
      </x:c>
      <x:c r="I24" s="47" t="n">
        <x:v>0</x:v>
      </x:c>
      <x:c r="J24" s="47" t="n">
        <x:v>462</x:v>
      </x:c>
      <x:c r="K24" s="47" t="n">
        <x:v>1445</x:v>
      </x:c>
      <x:c r="L24" s="47" t="n">
        <x:v>1956</x:v>
      </x:c>
      <x:c r="M24" s="47" t="n">
        <x:v>0</x:v>
      </x:c>
      <x:c r="N24" s="47" t="n">
        <x:v>78</x:v>
      </x:c>
      <x:c r="O24" s="47" t="n">
        <x:v>232</x:v>
      </x:c>
      <x:c r="P24" s="47" t="n">
        <x:v>20</x:v>
      </x:c>
      <x:c r="Q24" s="47" t="n">
        <x:v>151</x:v>
      </x:c>
      <x:c r="R24" s="47" t="n">
        <x:v>0</x:v>
      </x:c>
      <x:c r="S24" s="47" t="n">
        <x:v>3803</x:v>
      </x:c>
      <x:c r="T24" s="47" t="n">
        <x:v>82</x:v>
      </x:c>
      <x:c r="U24" s="47" t="n">
        <x:v>4984</x:v>
      </x:c>
      <x:c r="V24" s="47" t="n">
        <x:v>1358</x:v>
      </x:c>
      <x:c r="W24" s="47" t="n">
        <x:v>6659</x:v>
      </x:c>
      <x:c r="X24" s="47" t="n">
        <x:v>6272</x:v>
      </x:c>
      <x:c r="Y24" s="47" t="n">
        <x:v>319</x:v>
      </x:c>
      <x:c r="Z24" s="47" t="n">
        <x:f>SUM(D24:Y24)</x:f>
        <x:v>157066</x:v>
      </x:c>
      <x:c r="AA24" t="str">
        <x:v>Source time period is not specified; not VAHAN monthly registrations</x:v>
      </x:c>
    </x:row>
    <x:row r="25">
      <x:c r="A25" t="str">
        <x:v>Kolhapur Region</x:v>
      </x:c>
      <x:c r="B25" t="str">
        <x:v>Kolhapur Region</x:v>
      </x:c>
      <x:c r="C25" t="str">
        <x:v>Region subtotal</x:v>
      </x:c>
      <x:c r="D25" s="47" t="n">
        <x:v>1758789</x:v>
      </x:c>
      <x:c r="E25" s="47" t="n">
        <x:v>282384</x:v>
      </x:c>
      <x:c r="F25" s="47" t="n">
        <x:v>169063</x:v>
      </x:c>
      <x:c r="G25" s="47" t="n">
        <x:v>233925</x:v>
      </x:c>
      <x:c r="H25" s="47" t="n">
        <x:v>62404</x:v>
      </x:c>
      <x:c r="I25" s="47" t="n">
        <x:v>493</x:v>
      </x:c>
      <x:c r="J25" s="47" t="n">
        <x:v>2289</x:v>
      </x:c>
      <x:c r="K25" s="47" t="n">
        <x:v>7134</x:v>
      </x:c>
      <x:c r="L25" s="47" t="n">
        <x:v>34317</x:v>
      </x:c>
      <x:c r="M25" s="47" t="n">
        <x:v>2620</x:v>
      </x:c>
      <x:c r="N25" s="47" t="n">
        <x:v>1795</x:v>
      </x:c>
      <x:c r="O25" s="47" t="n">
        <x:v>1780</x:v>
      </x:c>
      <x:c r="P25" s="47" t="n">
        <x:v>419</x:v>
      </x:c>
      <x:c r="Q25" s="47" t="n">
        <x:v>918</x:v>
      </x:c>
      <x:c r="R25" s="47" t="n">
        <x:v>1038</x:v>
      </x:c>
      <x:c r="S25" s="47" t="n">
        <x:v>40223</x:v>
      </x:c>
      <x:c r="T25" s="47" t="n">
        <x:v>2220</x:v>
      </x:c>
      <x:c r="U25" s="47" t="n">
        <x:v>55245</x:v>
      </x:c>
      <x:c r="V25" s="47" t="n">
        <x:v>27690</x:v>
      </x:c>
      <x:c r="W25" s="47" t="n">
        <x:v>100767</x:v>
      </x:c>
      <x:c r="X25" s="47" t="n">
        <x:v>76089</x:v>
      </x:c>
      <x:c r="Y25" s="47" t="n">
        <x:v>5653</x:v>
      </x:c>
      <x:c r="Z25" s="47" t="n">
        <x:f>SUM(D25:Y25)</x:f>
        <x:v>2867255</x:v>
      </x:c>
      <x:c r="AA25" t="str">
        <x:v>Reported grouping is a subtotal; do not add to office records</x:v>
      </x:c>
    </x:row>
    <x:row r="26">
      <x:c r="A26" t="str">
        <x:v>Pune</x:v>
      </x:c>
      <x:c r="B26" t="str">
        <x:v>Pune</x:v>
      </x:c>
      <x:c r="C26" t="str">
        <x:v>Office / local area</x:v>
      </x:c>
      <x:c r="D26" s="47" t="n">
        <x:v>1750171</x:v>
      </x:c>
      <x:c r="E26" s="47" t="n">
        <x:v>523698</x:v>
      </x:c>
      <x:c r="F26" s="47" t="n">
        <x:v>195691</x:v>
      </x:c>
      <x:c r="G26" s="47" t="n">
        <x:v>537613</x:v>
      </x:c>
      <x:c r="H26" s="47" t="n">
        <x:v>41850</x:v>
      </x:c>
      <x:c r="I26" s="47" t="n">
        <x:v>876</x:v>
      </x:c>
      <x:c r="J26" s="47" t="n">
        <x:v>270</x:v>
      </x:c>
      <x:c r="K26" s="47" t="n">
        <x:v>21158</x:v>
      </x:c>
      <x:c r="L26" s="47" t="n">
        <x:v>49727</x:v>
      </x:c>
      <x:c r="M26" s="47" t="n">
        <x:v>2540</x:v>
      </x:c>
      <x:c r="N26" s="47" t="n">
        <x:v>11146</x:v>
      </x:c>
      <x:c r="O26" s="47" t="n">
        <x:v>2299</x:v>
      </x:c>
      <x:c r="P26" s="47" t="n">
        <x:v>1282</x:v>
      </x:c>
      <x:c r="Q26" s="47" t="n">
        <x:v>1182</x:v>
      </x:c>
      <x:c r="R26" s="47" t="n">
        <x:v>7032</x:v>
      </x:c>
      <x:c r="S26" s="47" t="n">
        <x:v>33408</x:v>
      </x:c>
      <x:c r="T26" s="47" t="n">
        <x:v>3221</x:v>
      </x:c>
      <x:c r="U26" s="47" t="n">
        <x:v>42467</x:v>
      </x:c>
      <x:c r="V26" s="47" t="n">
        <x:v>31920</x:v>
      </x:c>
      <x:c r="W26" s="47" t="n">
        <x:v>24289</x:v>
      </x:c>
      <x:c r="X26" s="47" t="n">
        <x:v>12759</x:v>
      </x:c>
      <x:c r="Y26" s="47" t="n">
        <x:v>7276</x:v>
      </x:c>
      <x:c r="Z26" s="47" t="n">
        <x:f>SUM(D26:Y26)</x:f>
        <x:v>3301875</x:v>
      </x:c>
      <x:c r="AA26" t="str">
        <x:v>Source time period is not specified; not VAHAN monthly registrations</x:v>
      </x:c>
    </x:row>
    <x:row r="27">
      <x:c r="A27" t="str">
        <x:v>Solapur</x:v>
      </x:c>
      <x:c r="B27" t="str">
        <x:v>Solapur</x:v>
      </x:c>
      <x:c r="C27" t="str">
        <x:v>Office / local area</x:v>
      </x:c>
      <x:c r="D27" s="47" t="n">
        <x:v>485404</x:v>
      </x:c>
      <x:c r="E27" s="47" t="n">
        <x:v>78089</x:v>
      </x:c>
      <x:c r="F27" s="47" t="n">
        <x:v>72652</x:v>
      </x:c>
      <x:c r="G27" s="47" t="n">
        <x:v>37786</x:v>
      </x:c>
      <x:c r="H27" s="47" t="n">
        <x:v>15608</x:v>
      </x:c>
      <x:c r="I27" s="47" t="n">
        <x:v>192</x:v>
      </x:c>
      <x:c r="J27" s="47" t="n">
        <x:v>0</x:v>
      </x:c>
      <x:c r="K27" s="47" t="n">
        <x:v>1699</x:v>
      </x:c>
      <x:c r="L27" s="47" t="n">
        <x:v>9244</x:v>
      </x:c>
      <x:c r="M27" s="47" t="n">
        <x:v>292</x:v>
      </x:c>
      <x:c r="N27" s="47" t="n">
        <x:v>144</x:v>
      </x:c>
      <x:c r="O27" s="47" t="n">
        <x:v>368</x:v>
      </x:c>
      <x:c r="P27" s="47" t="n">
        <x:v>119</x:v>
      </x:c>
      <x:c r="Q27" s="47" t="n">
        <x:v>257</x:v>
      </x:c>
      <x:c r="R27" s="47" t="n">
        <x:v>22</x:v>
      </x:c>
      <x:c r="S27" s="47" t="n">
        <x:v>9934</x:v>
      </x:c>
      <x:c r="T27" s="47" t="n">
        <x:v>940</x:v>
      </x:c>
      <x:c r="U27" s="47" t="n">
        <x:v>12986</x:v>
      </x:c>
      <x:c r="V27" s="47" t="n">
        <x:v>10097</x:v>
      </x:c>
      <x:c r="W27" s="47" t="n">
        <x:v>24072</x:v>
      </x:c>
      <x:c r="X27" s="47" t="n">
        <x:v>15005</x:v>
      </x:c>
      <x:c r="Y27" s="47" t="n">
        <x:v>634</x:v>
      </x:c>
      <x:c r="Z27" s="47" t="n">
        <x:f>SUM(D27:Y27)</x:f>
        <x:v>775544</x:v>
      </x:c>
      <x:c r="AA27" t="str">
        <x:v>Source time period is not specified; not VAHAN monthly registrations</x:v>
      </x:c>
    </x:row>
    <x:row r="28">
      <x:c r="A28" t="str">
        <x:v>Pimpri- Chinchwad</x:v>
      </x:c>
      <x:c r="B28" t="str">
        <x:v>Pimpri- Chinchwad</x:v>
      </x:c>
      <x:c r="C28" t="str">
        <x:v>Office / local area</x:v>
      </x:c>
      <x:c r="D28" s="47" t="n">
        <x:v>892966</x:v>
      </x:c>
      <x:c r="E28" s="47" t="n">
        <x:v>225351</x:v>
      </x:c>
      <x:c r="F28" s="47" t="n">
        <x:v>37618</x:v>
      </x:c>
      <x:c r="G28" s="47" t="n">
        <x:v>231841</x:v>
      </x:c>
      <x:c r="H28" s="47" t="n">
        <x:v>19033</x:v>
      </x:c>
      <x:c r="I28" s="47" t="n">
        <x:v>60</x:v>
      </x:c>
      <x:c r="J28" s="47" t="n">
        <x:v>0</x:v>
      </x:c>
      <x:c r="K28" s="47" t="n">
        <x:v>23734</x:v>
      </x:c>
      <x:c r="L28" s="47" t="n">
        <x:v>6252</x:v>
      </x:c>
      <x:c r="M28" s="47" t="n">
        <x:v>3704</x:v>
      </x:c>
      <x:c r="N28" s="47" t="n">
        <x:v>6566</x:v>
      </x:c>
      <x:c r="O28" s="47" t="n">
        <x:v>375</x:v>
      </x:c>
      <x:c r="P28" s="47" t="n">
        <x:v>642</x:v>
      </x:c>
      <x:c r="Q28" s="47" t="n">
        <x:v>1635</x:v>
      </x:c>
      <x:c r="R28" s="47" t="n">
        <x:v>9</x:v>
      </x:c>
      <x:c r="S28" s="47" t="n">
        <x:v>16460</x:v>
      </x:c>
      <x:c r="T28" s="47" t="n">
        <x:v>1490</x:v>
      </x:c>
      <x:c r="U28" s="47" t="n">
        <x:v>30912</x:v>
      </x:c>
      <x:c r="V28" s="47" t="n">
        <x:v>25494</x:v>
      </x:c>
      <x:c r="W28" s="47" t="n">
        <x:v>17177</x:v>
      </x:c>
      <x:c r="X28" s="47" t="n">
        <x:v>4109</x:v>
      </x:c>
      <x:c r="Y28" s="47" t="n">
        <x:v>3879</x:v>
      </x:c>
      <x:c r="Z28" s="47" t="n">
        <x:f>SUM(D28:Y28)</x:f>
        <x:v>1549307</x:v>
      </x:c>
      <x:c r="AA28" t="str">
        <x:v>Source time period is not specified; not VAHAN monthly registrations</x:v>
      </x:c>
    </x:row>
    <x:row r="29">
      <x:c r="A29" t="str">
        <x:v>Baramati</x:v>
      </x:c>
      <x:c r="B29" t="str">
        <x:v>Baramati</x:v>
      </x:c>
      <x:c r="C29" t="str">
        <x:v>Office / local area</x:v>
      </x:c>
      <x:c r="D29" s="47" t="n">
        <x:v>234529</x:v>
      </x:c>
      <x:c r="E29" s="47" t="n">
        <x:v>6835</x:v>
      </x:c>
      <x:c r="F29" s="47" t="n">
        <x:v>722</x:v>
      </x:c>
      <x:c r="G29" s="47" t="n">
        <x:v>29343</x:v>
      </x:c>
      <x:c r="H29" s="47" t="n">
        <x:v>4660</x:v>
      </x:c>
      <x:c r="I29" s="47" t="n">
        <x:v>8</x:v>
      </x:c>
      <x:c r="J29" s="47" t="n">
        <x:v>0</x:v>
      </x:c>
      <x:c r="K29" s="47" t="n">
        <x:v>636</x:v>
      </x:c>
      <x:c r="L29" s="47" t="n">
        <x:v>1577</x:v>
      </x:c>
      <x:c r="M29" s="47" t="n">
        <x:v>0</x:v>
      </x:c>
      <x:c r="N29" s="47" t="n">
        <x:v>210</x:v>
      </x:c>
      <x:c r="O29" s="47" t="n">
        <x:v>326</x:v>
      </x:c>
      <x:c r="P29" s="47" t="n">
        <x:v>101</x:v>
      </x:c>
      <x:c r="Q29" s="47" t="n">
        <x:v>122</x:v>
      </x:c>
      <x:c r="R29" s="47" t="n">
        <x:v>217</x:v>
      </x:c>
      <x:c r="S29" s="47" t="n">
        <x:v>6612</x:v>
      </x:c>
      <x:c r="T29" s="47" t="n">
        <x:v>548</x:v>
      </x:c>
      <x:c r="U29" s="47" t="n">
        <x:v>11639</x:v>
      </x:c>
      <x:c r="V29" s="47" t="n">
        <x:v>5836</x:v>
      </x:c>
      <x:c r="W29" s="47" t="n">
        <x:v>17695</x:v>
      </x:c>
      <x:c r="X29" s="47" t="n">
        <x:v>16213</x:v>
      </x:c>
      <x:c r="Y29" s="47" t="n">
        <x:v>845</x:v>
      </x:c>
      <x:c r="Z29" s="47" t="n">
        <x:f>SUM(D29:Y29)</x:f>
        <x:v>338674</x:v>
      </x:c>
      <x:c r="AA29" t="str">
        <x:v>Source time period is not specified; not VAHAN monthly registrations</x:v>
      </x:c>
    </x:row>
    <x:row r="30">
      <x:c r="A30" t="str">
        <x:v>Akluj</x:v>
      </x:c>
      <x:c r="B30" t="str">
        <x:v>Akluj</x:v>
      </x:c>
      <x:c r="C30" t="str">
        <x:v>Office / local area</x:v>
      </x:c>
      <x:c r="D30" s="47" t="n">
        <x:v>187680</x:v>
      </x:c>
      <x:c r="E30" s="47" t="n">
        <x:v>871</x:v>
      </x:c>
      <x:c r="F30" s="47" t="n">
        <x:v>200</x:v>
      </x:c>
      <x:c r="G30" s="47" t="n">
        <x:v>23662</x:v>
      </x:c>
      <x:c r="H30" s="47" t="n">
        <x:v>2969</x:v>
      </x:c>
      <x:c r="I30" s="47" t="n">
        <x:v>13</x:v>
      </x:c>
      <x:c r="J30" s="47" t="n">
        <x:v>0</x:v>
      </x:c>
      <x:c r="K30" s="47" t="n">
        <x:v>310</x:v>
      </x:c>
      <x:c r="L30" s="47" t="n">
        <x:v>374</x:v>
      </x:c>
      <x:c r="M30" s="47" t="n">
        <x:v>63</x:v>
      </x:c>
      <x:c r="N30" s="47" t="n">
        <x:v>80</x:v>
      </x:c>
      <x:c r="O30" s="47" t="n">
        <x:v>180</x:v>
      </x:c>
      <x:c r="P30" s="47" t="n">
        <x:v>9</x:v>
      </x:c>
      <x:c r="Q30" s="47" t="n">
        <x:v>68</x:v>
      </x:c>
      <x:c r="R30" s="47" t="n">
        <x:v>45</x:v>
      </x:c>
      <x:c r="S30" s="47" t="n">
        <x:v>2559</x:v>
      </x:c>
      <x:c r="T30" s="47" t="n">
        <x:v>110</x:v>
      </x:c>
      <x:c r="U30" s="47" t="n">
        <x:v>6649</x:v>
      </x:c>
      <x:c r="V30" s="47" t="n">
        <x:v>3351</x:v>
      </x:c>
      <x:c r="W30" s="47" t="n">
        <x:v>13668</x:v>
      </x:c>
      <x:c r="X30" s="47" t="n">
        <x:v>7296</x:v>
      </x:c>
      <x:c r="Y30" s="47" t="n">
        <x:v>900</x:v>
      </x:c>
      <x:c r="Z30" s="47" t="n">
        <x:f>SUM(D30:Y30)</x:f>
        <x:v>251057</x:v>
      </x:c>
      <x:c r="AA30" t="str">
        <x:v>Source time period is not specified; not VAHAN monthly registrations</x:v>
      </x:c>
    </x:row>
    <x:row r="31">
      <x:c r="A31" t="str">
        <x:v>Pune Region</x:v>
      </x:c>
      <x:c r="B31" t="str">
        <x:v>Pune Region</x:v>
      </x:c>
      <x:c r="C31" t="str">
        <x:v>Region subtotal</x:v>
      </x:c>
      <x:c r="D31" s="47" t="n">
        <x:v>3550750</x:v>
      </x:c>
      <x:c r="E31" s="47" t="n">
        <x:v>834844</x:v>
      </x:c>
      <x:c r="F31" s="47" t="n">
        <x:v>306883</x:v>
      </x:c>
      <x:c r="G31" s="47" t="n">
        <x:v>860245</x:v>
      </x:c>
      <x:c r="H31" s="47" t="n">
        <x:v>84120</x:v>
      </x:c>
      <x:c r="I31" s="47" t="n">
        <x:v>1149</x:v>
      </x:c>
      <x:c r="J31" s="47" t="n">
        <x:v>270</x:v>
      </x:c>
      <x:c r="K31" s="47" t="n">
        <x:v>47537</x:v>
      </x:c>
      <x:c r="L31" s="47" t="n">
        <x:v>67174</x:v>
      </x:c>
      <x:c r="M31" s="47" t="n">
        <x:v>6599</x:v>
      </x:c>
      <x:c r="N31" s="47" t="n">
        <x:v>18146</x:v>
      </x:c>
      <x:c r="O31" s="47" t="n">
        <x:v>3548</x:v>
      </x:c>
      <x:c r="P31" s="47" t="n">
        <x:v>2153</x:v>
      </x:c>
      <x:c r="Q31" s="47" t="n">
        <x:v>3264</x:v>
      </x:c>
      <x:c r="R31" s="47" t="n">
        <x:v>7325</x:v>
      </x:c>
      <x:c r="S31" s="47" t="n">
        <x:v>68973</x:v>
      </x:c>
      <x:c r="T31" s="47" t="n">
        <x:v>6309</x:v>
      </x:c>
      <x:c r="U31" s="47" t="n">
        <x:v>104653</x:v>
      </x:c>
      <x:c r="V31" s="47" t="n">
        <x:v>76698</x:v>
      </x:c>
      <x:c r="W31" s="47" t="n">
        <x:v>96901</x:v>
      </x:c>
      <x:c r="X31" s="47" t="n">
        <x:v>55382</x:v>
      </x:c>
      <x:c r="Y31" s="47" t="n">
        <x:v>13534</x:v>
      </x:c>
      <x:c r="Z31" s="47" t="n">
        <x:f>SUM(D31:Y31)</x:f>
        <x:v>6216457</x:v>
      </x:c>
      <x:c r="AA31" t="str">
        <x:v>Reported grouping is a subtotal; do not add to office records</x:v>
      </x:c>
    </x:row>
    <x:row r="32">
      <x:c r="A32" t="str">
        <x:v>Nashik</x:v>
      </x:c>
      <x:c r="B32" t="str">
        <x:v>Nashik</x:v>
      </x:c>
      <x:c r="C32" t="str">
        <x:v>Office / local area</x:v>
      </x:c>
      <x:c r="D32" s="47" t="n">
        <x:v>802361</x:v>
      </x:c>
      <x:c r="E32" s="47" t="n">
        <x:v>220350</x:v>
      </x:c>
      <x:c r="F32" s="47" t="n">
        <x:v>54608</x:v>
      </x:c>
      <x:c r="G32" s="47" t="n">
        <x:v>153151</x:v>
      </x:c>
      <x:c r="H32" s="47" t="n">
        <x:v>26442</x:v>
      </x:c>
      <x:c r="I32" s="47" t="n">
        <x:v>94</x:v>
      </x:c>
      <x:c r="J32" s="47" t="n">
        <x:v>2100</x:v>
      </x:c>
      <x:c r="K32" s="47" t="n">
        <x:v>3576</x:v>
      </x:c>
      <x:c r="L32" s="47" t="n">
        <x:v>22177</x:v>
      </x:c>
      <x:c r="M32" s="47" t="n">
        <x:v>950</x:v>
      </x:c>
      <x:c r="N32" s="47" t="n">
        <x:v>1515</x:v>
      </x:c>
      <x:c r="O32" s="47" t="n">
        <x:v>925</x:v>
      </x:c>
      <x:c r="P32" s="47" t="n">
        <x:v>203</x:v>
      </x:c>
      <x:c r="Q32" s="47" t="n">
        <x:v>634</x:v>
      </x:c>
      <x:c r="R32" s="47" t="n">
        <x:v>48</x:v>
      </x:c>
      <x:c r="S32" s="47" t="n">
        <x:v>13222</x:v>
      </x:c>
      <x:c r="T32" s="47" t="n">
        <x:v>838</x:v>
      </x:c>
      <x:c r="U32" s="47" t="n">
        <x:v>30001</x:v>
      </x:c>
      <x:c r="V32" s="47" t="n">
        <x:v>12937</x:v>
      </x:c>
      <x:c r="W32" s="47" t="n">
        <x:v>68323</x:v>
      </x:c>
      <x:c r="X32" s="47" t="n">
        <x:v>28751</x:v>
      </x:c>
      <x:c r="Y32" s="47" t="n">
        <x:v>5926</x:v>
      </x:c>
      <x:c r="Z32" s="47" t="n">
        <x:f>SUM(D32:Y32)</x:f>
        <x:v>1449132</x:v>
      </x:c>
      <x:c r="AA32" t="str">
        <x:v>Source time period is not specified; not VAHAN monthly registrations</x:v>
      </x:c>
    </x:row>
    <x:row r="33">
      <x:c r="A33" t="str">
        <x:v>A'mad- nagar</x:v>
      </x:c>
      <x:c r="B33" t="str">
        <x:v>A'mad- nagar</x:v>
      </x:c>
      <x:c r="C33" t="str">
        <x:v>Office / local area</x:v>
      </x:c>
      <x:c r="D33" s="47" t="n">
        <x:v>377986</x:v>
      </x:c>
      <x:c r="E33" s="47" t="n">
        <x:v>80208</x:v>
      </x:c>
      <x:c r="F33" s="47" t="n">
        <x:v>43318</x:v>
      </x:c>
      <x:c r="G33" s="47" t="n">
        <x:v>38316</x:v>
      </x:c>
      <x:c r="H33" s="47" t="n">
        <x:v>13358</x:v>
      </x:c>
      <x:c r="I33" s="47" t="n">
        <x:v>254</x:v>
      </x:c>
      <x:c r="J33" s="47" t="n">
        <x:v>887</x:v>
      </x:c>
      <x:c r="K33" s="47" t="n">
        <x:v>1251</x:v>
      </x:c>
      <x:c r="L33" s="47" t="n">
        <x:v>6106</x:v>
      </x:c>
      <x:c r="M33" s="47" t="n">
        <x:v>764</x:v>
      </x:c>
      <x:c r="N33" s="47" t="n">
        <x:v>135</x:v>
      </x:c>
      <x:c r="O33" s="47" t="n">
        <x:v>462</x:v>
      </x:c>
      <x:c r="P33" s="47" t="n">
        <x:v>85</x:v>
      </x:c>
      <x:c r="Q33" s="47" t="n">
        <x:v>250</x:v>
      </x:c>
      <x:c r="R33" s="47" t="n">
        <x:v>140</x:v>
      </x:c>
      <x:c r="S33" s="47" t="n">
        <x:v>8207</x:v>
      </x:c>
      <x:c r="T33" s="47" t="n">
        <x:v>541</x:v>
      </x:c>
      <x:c r="U33" s="47" t="n">
        <x:v>14661</x:v>
      </x:c>
      <x:c r="V33" s="47" t="n">
        <x:v>7578</x:v>
      </x:c>
      <x:c r="W33" s="47" t="n">
        <x:v>26006</x:v>
      </x:c>
      <x:c r="X33" s="47" t="n">
        <x:v>13400</x:v>
      </x:c>
      <x:c r="Y33" s="47" t="n">
        <x:v>2462</x:v>
      </x:c>
      <x:c r="Z33" s="47" t="n">
        <x:f>SUM(D33:Y33)</x:f>
        <x:v>636375</x:v>
      </x:c>
      <x:c r="AA33" t="str">
        <x:v>Source time period is not specified; not VAHAN monthly registrations</x:v>
      </x:c>
    </x:row>
    <x:row r="34">
      <x:c r="A34" t="str">
        <x:v>Shriram- pur</x:v>
      </x:c>
      <x:c r="B34" t="str">
        <x:v>Shriram- pur</x:v>
      </x:c>
      <x:c r="C34" t="str">
        <x:v>Office / local area</x:v>
      </x:c>
      <x:c r="D34" s="47" t="n">
        <x:v>472658</x:v>
      </x:c>
      <x:c r="E34" s="47" t="n">
        <x:v>29004</x:v>
      </x:c>
      <x:c r="F34" s="47" t="n">
        <x:v>29675</x:v>
      </x:c>
      <x:c r="G34" s="47" t="n">
        <x:v>39124</x:v>
      </x:c>
      <x:c r="H34" s="47" t="n">
        <x:v>12670</x:v>
      </x:c>
      <x:c r="I34" s="47" t="n">
        <x:v>792</x:v>
      </x:c>
      <x:c r="J34" s="47" t="n">
        <x:v>1359</x:v>
      </x:c>
      <x:c r="K34" s="47" t="n">
        <x:v>1907</x:v>
      </x:c>
      <x:c r="L34" s="47" t="n">
        <x:v>5323</x:v>
      </x:c>
      <x:c r="M34" s="47" t="n">
        <x:v>0</x:v>
      </x:c>
      <x:c r="N34" s="47" t="n">
        <x:v>231</x:v>
      </x:c>
      <x:c r="O34" s="47" t="n">
        <x:v>562</x:v>
      </x:c>
      <x:c r="P34" s="47" t="n">
        <x:v>72</x:v>
      </x:c>
      <x:c r="Q34" s="47" t="n">
        <x:v>182</x:v>
      </x:c>
      <x:c r="R34" s="47" t="n">
        <x:v>251</x:v>
      </x:c>
      <x:c r="S34" s="47" t="n">
        <x:v>6328</x:v>
      </x:c>
      <x:c r="T34" s="47" t="n">
        <x:v>749</x:v>
      </x:c>
      <x:c r="U34" s="47" t="n">
        <x:v>12090</x:v>
      </x:c>
      <x:c r="V34" s="47" t="n">
        <x:v>11677</x:v>
      </x:c>
      <x:c r="W34" s="47" t="n">
        <x:v>32141</x:v>
      </x:c>
      <x:c r="X34" s="47" t="n">
        <x:v>19565</x:v>
      </x:c>
      <x:c r="Y34" s="47" t="n">
        <x:v>1468</x:v>
      </x:c>
      <x:c r="Z34" s="47" t="n">
        <x:f>SUM(D34:Y34)</x:f>
        <x:v>677828</x:v>
      </x:c>
      <x:c r="AA34" t="str">
        <x:v>Source time period is not specified; not VAHAN monthly registrations</x:v>
      </x:c>
    </x:row>
    <x:row r="35">
      <x:c r="A35" t="str">
        <x:v>Malegaon</x:v>
      </x:c>
      <x:c r="B35" t="str">
        <x:v>Malegaon</x:v>
      </x:c>
      <x:c r="C35" t="str">
        <x:v>Office / local area</x:v>
      </x:c>
      <x:c r="D35" s="47" t="n">
        <x:v>258166</x:v>
      </x:c>
      <x:c r="E35" s="47" t="n">
        <x:v>9561</x:v>
      </x:c>
      <x:c r="F35" s="47" t="n">
        <x:v>11330</x:v>
      </x:c>
      <x:c r="G35" s="47" t="n">
        <x:v>21560</x:v>
      </x:c>
      <x:c r="H35" s="47" t="n">
        <x:v>2440</x:v>
      </x:c>
      <x:c r="I35" s="47" t="n">
        <x:v>2</x:v>
      </x:c>
      <x:c r="J35" s="47" t="n">
        <x:v>1110</x:v>
      </x:c>
      <x:c r="K35" s="47" t="n">
        <x:v>340</x:v>
      </x:c>
      <x:c r="L35" s="47" t="n">
        <x:v>8786</x:v>
      </x:c>
      <x:c r="M35" s="47" t="n">
        <x:v>0</x:v>
      </x:c>
      <x:c r="N35" s="47" t="n">
        <x:v>59</x:v>
      </x:c>
      <x:c r="O35" s="47" t="n">
        <x:v>218</x:v>
      </x:c>
      <x:c r="P35" s="47" t="n">
        <x:v>12</x:v>
      </x:c>
      <x:c r="Q35" s="47" t="n">
        <x:v>100</x:v>
      </x:c>
      <x:c r="R35" s="47" t="n">
        <x:v>42</x:v>
      </x:c>
      <x:c r="S35" s="47" t="n">
        <x:v>4929</x:v>
      </x:c>
      <x:c r="T35" s="47" t="n">
        <x:v>128</x:v>
      </x:c>
      <x:c r="U35" s="47" t="n">
        <x:v>7604</x:v>
      </x:c>
      <x:c r="V35" s="47" t="n">
        <x:v>3807</x:v>
      </x:c>
      <x:c r="W35" s="47" t="n">
        <x:v>25094</x:v>
      </x:c>
      <x:c r="X35" s="47" t="n">
        <x:v>18710</x:v>
      </x:c>
      <x:c r="Y35" s="47" t="n">
        <x:v>322</x:v>
      </x:c>
      <x:c r="Z35" s="47" t="n">
        <x:f>SUM(D35:Y35)</x:f>
        <x:v>374320</x:v>
      </x:c>
      <x:c r="AA35" t="str">
        <x:v>Source time period is not specified; not VAHAN monthly registrations</x:v>
      </x:c>
    </x:row>
    <x:row r="36">
      <x:c r="A36" t="str">
        <x:v>Nashik Region</x:v>
      </x:c>
      <x:c r="B36" t="str">
        <x:v>Nashik Region</x:v>
      </x:c>
      <x:c r="C36" t="str">
        <x:v>Region subtotal</x:v>
      </x:c>
      <x:c r="D36" s="47" t="n">
        <x:v>1911171</x:v>
      </x:c>
      <x:c r="E36" s="47" t="n">
        <x:v>339123</x:v>
      </x:c>
      <x:c r="F36" s="47" t="n">
        <x:v>138931</x:v>
      </x:c>
      <x:c r="G36" s="47" t="n">
        <x:v>252151</x:v>
      </x:c>
      <x:c r="H36" s="47" t="n">
        <x:v>54910</x:v>
      </x:c>
      <x:c r="I36" s="47" t="n">
        <x:v>1142</x:v>
      </x:c>
      <x:c r="J36" s="47" t="n">
        <x:v>5456</x:v>
      </x:c>
      <x:c r="K36" s="47" t="n">
        <x:v>7074</x:v>
      </x:c>
      <x:c r="L36" s="47" t="n">
        <x:v>42392</x:v>
      </x:c>
      <x:c r="M36" s="47" t="n">
        <x:v>1714</x:v>
      </x:c>
      <x:c r="N36" s="47" t="n">
        <x:v>1940</x:v>
      </x:c>
      <x:c r="O36" s="47" t="n">
        <x:v>2167</x:v>
      </x:c>
      <x:c r="P36" s="47" t="n">
        <x:v>372</x:v>
      </x:c>
      <x:c r="Q36" s="47" t="n">
        <x:v>1166</x:v>
      </x:c>
      <x:c r="R36" s="47" t="n">
        <x:v>481</x:v>
      </x:c>
      <x:c r="S36" s="47" t="n">
        <x:v>32686</x:v>
      </x:c>
      <x:c r="T36" s="47" t="n">
        <x:v>2256</x:v>
      </x:c>
      <x:c r="U36" s="47" t="n">
        <x:v>64356</x:v>
      </x:c>
      <x:c r="V36" s="47" t="n">
        <x:v>35999</x:v>
      </x:c>
      <x:c r="W36" s="47" t="n">
        <x:v>151564</x:v>
      </x:c>
      <x:c r="X36" s="47" t="n">
        <x:v>80426</x:v>
      </x:c>
      <x:c r="Y36" s="47" t="n">
        <x:v>10178</x:v>
      </x:c>
      <x:c r="Z36" s="47" t="n">
        <x:f>SUM(D36:Y36)</x:f>
        <x:v>3137655</x:v>
      </x:c>
      <x:c r="AA36" t="str">
        <x:v>Reported grouping is a subtotal; do not add to office records</x:v>
      </x:c>
    </x:row>
    <x:row r="37">
      <x:c r="A37" t="str">
        <x:v>Dhule</x:v>
      </x:c>
      <x:c r="B37" t="str">
        <x:v>Dhule</x:v>
      </x:c>
      <x:c r="C37" t="str">
        <x:v>Office / local area</x:v>
      </x:c>
      <x:c r="D37" s="47" t="n">
        <x:v>224457</x:v>
      </x:c>
      <x:c r="E37" s="47" t="n">
        <x:v>37323</x:v>
      </x:c>
      <x:c r="F37" s="47" t="n">
        <x:v>29100</x:v>
      </x:c>
      <x:c r="G37" s="47" t="n">
        <x:v>23577</x:v>
      </x:c>
      <x:c r="H37" s="47" t="n">
        <x:v>5897</x:v>
      </x:c>
      <x:c r="I37" s="47" t="n">
        <x:v>401</x:v>
      </x:c>
      <x:c r="J37" s="47" t="n">
        <x:v>154</x:v>
      </x:c>
      <x:c r="K37" s="47" t="n">
        <x:v>2916</x:v>
      </x:c>
      <x:c r="L37" s="47" t="n">
        <x:v>12769</x:v>
      </x:c>
      <x:c r="M37" s="47" t="n">
        <x:v>673</x:v>
      </x:c>
      <x:c r="N37" s="47" t="n">
        <x:v>327</x:v>
      </x:c>
      <x:c r="O37" s="47" t="n">
        <x:v>193</x:v>
      </x:c>
      <x:c r="P37" s="47" t="n">
        <x:v>94</x:v>
      </x:c>
      <x:c r="Q37" s="47" t="n">
        <x:v>160</x:v>
      </x:c>
      <x:c r="R37" s="47" t="n">
        <x:v>1540</x:v>
      </x:c>
      <x:c r="S37" s="47" t="n">
        <x:v>10465</x:v>
      </x:c>
      <x:c r="T37" s="47" t="n">
        <x:v>799</x:v>
      </x:c>
      <x:c r="U37" s="47" t="n">
        <x:v>4867</x:v>
      </x:c>
      <x:c r="V37" s="47" t="n">
        <x:v>7663</x:v>
      </x:c>
      <x:c r="W37" s="47" t="n">
        <x:v>18207</x:v>
      </x:c>
      <x:c r="X37" s="47" t="n">
        <x:v>14608</x:v>
      </x:c>
      <x:c r="Y37" s="47" t="n">
        <x:v>426</x:v>
      </x:c>
      <x:c r="Z37" s="47" t="n">
        <x:f>SUM(D37:Y37)</x:f>
        <x:v>396616</x:v>
      </x:c>
      <x:c r="AA37" t="str">
        <x:v>Source time period is not specified; not VAHAN monthly registrations</x:v>
      </x:c>
    </x:row>
    <x:row r="38">
      <x:c r="A38" t="str">
        <x:v>Jalgaon</x:v>
      </x:c>
      <x:c r="B38" t="str">
        <x:v>Jalgaon</x:v>
      </x:c>
      <x:c r="C38" t="str">
        <x:v>Office / local area</x:v>
      </x:c>
      <x:c r="D38" s="47" t="n">
        <x:v>484900</x:v>
      </x:c>
      <x:c r="E38" s="47" t="n">
        <x:v>89810</x:v>
      </x:c>
      <x:c r="F38" s="47" t="n">
        <x:v>64075</x:v>
      </x:c>
      <x:c r="G38" s="47" t="n">
        <x:v>37102</x:v>
      </x:c>
      <x:c r="H38" s="47" t="n">
        <x:v>11958</x:v>
      </x:c>
      <x:c r="I38" s="47" t="n">
        <x:v>550</x:v>
      </x:c>
      <x:c r="J38" s="47" t="n">
        <x:v>2957</x:v>
      </x:c>
      <x:c r="K38" s="47" t="n">
        <x:v>532</x:v>
      </x:c>
      <x:c r="L38" s="47" t="n">
        <x:v>30161</x:v>
      </x:c>
      <x:c r="M38" s="47" t="n">
        <x:v>0</x:v>
      </x:c>
      <x:c r="N38" s="47" t="n">
        <x:v>478</x:v>
      </x:c>
      <x:c r="O38" s="47" t="n">
        <x:v>398</x:v>
      </x:c>
      <x:c r="P38" s="47" t="n">
        <x:v>91</x:v>
      </x:c>
      <x:c r="Q38" s="47" t="n">
        <x:v>227</x:v>
      </x:c>
      <x:c r="R38" s="47" t="n">
        <x:v>0</x:v>
      </x:c>
      <x:c r="S38" s="47" t="n">
        <x:v>8295</x:v>
      </x:c>
      <x:c r="T38" s="47" t="n">
        <x:v>317</x:v>
      </x:c>
      <x:c r="U38" s="47" t="n">
        <x:v>7019</x:v>
      </x:c>
      <x:c r="V38" s="47" t="n">
        <x:v>15167</x:v>
      </x:c>
      <x:c r="W38" s="47" t="n">
        <x:v>32748</x:v>
      </x:c>
      <x:c r="X38" s="47" t="n">
        <x:v>22517</x:v>
      </x:c>
      <x:c r="Y38" s="47" t="n">
        <x:v>1454</x:v>
      </x:c>
      <x:c r="Z38" s="47" t="n">
        <x:f>SUM(D38:Y38)</x:f>
        <x:v>810756</x:v>
      </x:c>
      <x:c r="AA38" t="str">
        <x:v>Source time period is not specified; not VAHAN monthly registrations</x:v>
      </x:c>
    </x:row>
    <x:row r="39">
      <x:c r="A39" t="str">
        <x:v>Nandurbar</x:v>
      </x:c>
      <x:c r="B39" t="str">
        <x:v>Nandurbar</x:v>
      </x:c>
      <x:c r="C39" t="str">
        <x:v>Office / local area</x:v>
      </x:c>
      <x:c r="D39" s="47" t="n">
        <x:v>102084</x:v>
      </x:c>
      <x:c r="E39" s="47" t="n">
        <x:v>20320</x:v>
      </x:c>
      <x:c r="F39" s="47" t="n">
        <x:v>4005</x:v>
      </x:c>
      <x:c r="G39" s="47" t="n">
        <x:v>13419</x:v>
      </x:c>
      <x:c r="H39" s="47" t="n">
        <x:v>4755</x:v>
      </x:c>
      <x:c r="I39" s="47" t="n">
        <x:v>1533</x:v>
      </x:c>
      <x:c r="J39" s="47" t="n">
        <x:v>45</x:v>
      </x:c>
      <x:c r="K39" s="47" t="n">
        <x:v>407</x:v>
      </x:c>
      <x:c r="L39" s="47" t="n">
        <x:v>834</x:v>
      </x:c>
      <x:c r="M39" s="47" t="n">
        <x:v>0</x:v>
      </x:c>
      <x:c r="N39" s="47" t="n">
        <x:v>90</x:v>
      </x:c>
      <x:c r="O39" s="47" t="n">
        <x:v>47</x:v>
      </x:c>
      <x:c r="P39" s="47" t="n">
        <x:v>23</x:v>
      </x:c>
      <x:c r="Q39" s="47" t="n">
        <x:v>72</x:v>
      </x:c>
      <x:c r="R39" s="47" t="n">
        <x:v>0</x:v>
      </x:c>
      <x:c r="S39" s="47" t="n">
        <x:v>708</x:v>
      </x:c>
      <x:c r="T39" s="47" t="n">
        <x:v>81</x:v>
      </x:c>
      <x:c r="U39" s="47" t="n">
        <x:v>1317</x:v>
      </x:c>
      <x:c r="V39" s="47" t="n">
        <x:v>3902</x:v>
      </x:c>
      <x:c r="W39" s="47" t="n">
        <x:v>10253</x:v>
      </x:c>
      <x:c r="X39" s="47" t="n">
        <x:v>5202</x:v>
      </x:c>
      <x:c r="Y39" s="47" t="n">
        <x:v>290</x:v>
      </x:c>
      <x:c r="Z39" s="47" t="n">
        <x:f>SUM(D39:Y39)</x:f>
        <x:v>169387</x:v>
      </x:c>
      <x:c r="AA39" t="str">
        <x:v>Source time period is not specified; not VAHAN monthly registrations</x:v>
      </x:c>
    </x:row>
    <x:row r="40">
      <x:c r="A40" t="str">
        <x:v>Dhule Region</x:v>
      </x:c>
      <x:c r="B40" t="str">
        <x:v>Dhule Region</x:v>
      </x:c>
      <x:c r="C40" t="str">
        <x:v>Region subtotal</x:v>
      </x:c>
      <x:c r="D40" s="47" t="n">
        <x:v>811441</x:v>
      </x:c>
      <x:c r="E40" s="47" t="n">
        <x:v>147453</x:v>
      </x:c>
      <x:c r="F40" s="47" t="n">
        <x:v>97180</x:v>
      </x:c>
      <x:c r="G40" s="47" t="n">
        <x:v>74098</x:v>
      </x:c>
      <x:c r="H40" s="47" t="n">
        <x:v>22610</x:v>
      </x:c>
      <x:c r="I40" s="47" t="n">
        <x:v>2484</x:v>
      </x:c>
      <x:c r="J40" s="47" t="n">
        <x:v>3156</x:v>
      </x:c>
      <x:c r="K40" s="47" t="n">
        <x:v>3855</x:v>
      </x:c>
      <x:c r="L40" s="47" t="n">
        <x:v>43764</x:v>
      </x:c>
      <x:c r="M40" s="47" t="n">
        <x:v>673</x:v>
      </x:c>
      <x:c r="N40" s="47" t="n">
        <x:v>895</x:v>
      </x:c>
      <x:c r="O40" s="47" t="n">
        <x:v>638</x:v>
      </x:c>
      <x:c r="P40" s="47" t="n">
        <x:v>208</x:v>
      </x:c>
      <x:c r="Q40" s="47" t="n">
        <x:v>459</x:v>
      </x:c>
      <x:c r="R40" s="47" t="n">
        <x:v>1540</x:v>
      </x:c>
      <x:c r="S40" s="47" t="n">
        <x:v>19468</x:v>
      </x:c>
      <x:c r="T40" s="47" t="n">
        <x:v>1197</x:v>
      </x:c>
      <x:c r="U40" s="47" t="n">
        <x:v>13203</x:v>
      </x:c>
      <x:c r="V40" s="47" t="n">
        <x:v>26732</x:v>
      </x:c>
      <x:c r="W40" s="47" t="n">
        <x:v>61208</x:v>
      </x:c>
      <x:c r="X40" s="47" t="n">
        <x:v>42327</x:v>
      </x:c>
      <x:c r="Y40" s="47" t="n">
        <x:v>2170</x:v>
      </x:c>
      <x:c r="Z40" s="47" t="n">
        <x:f>SUM(D40:Y40)</x:f>
        <x:v>1376759</x:v>
      </x:c>
      <x:c r="AA40" t="str">
        <x:v>Reported grouping is a subtotal; do not add to office records</x:v>
      </x:c>
    </x:row>
    <x:row r="41">
      <x:c r="A41" t="str">
        <x:v>A'bad</x:v>
      </x:c>
      <x:c r="B41" t="str">
        <x:v>A'bad</x:v>
      </x:c>
      <x:c r="C41" t="str">
        <x:v>Office / local area</x:v>
      </x:c>
      <x:c r="D41" s="47" t="n">
        <x:v>783039</x:v>
      </x:c>
      <x:c r="E41" s="47" t="n">
        <x:v>89540</x:v>
      </x:c>
      <x:c r="F41" s="47" t="n">
        <x:v>47318</x:v>
      </x:c>
      <x:c r="G41" s="47" t="n">
        <x:v>62175</x:v>
      </x:c>
      <x:c r="H41" s="47" t="n">
        <x:v>29322</x:v>
      </x:c>
      <x:c r="I41" s="47" t="n">
        <x:v>452</x:v>
      </x:c>
      <x:c r="J41" s="47" t="n">
        <x:v>59</x:v>
      </x:c>
      <x:c r="K41" s="47" t="n">
        <x:v>2697</x:v>
      </x:c>
      <x:c r="L41" s="47" t="n">
        <x:v>27676</x:v>
      </x:c>
      <x:c r="M41" s="47" t="n">
        <x:v>5959</x:v>
      </x:c>
      <x:c r="N41" s="47" t="n">
        <x:v>1544</x:v>
      </x:c>
      <x:c r="O41" s="47" t="n">
        <x:v>1114</x:v>
      </x:c>
      <x:c r="P41" s="47" t="n">
        <x:v>1996</x:v>
      </x:c>
      <x:c r="Q41" s="47" t="n">
        <x:v>502</x:v>
      </x:c>
      <x:c r="R41" s="47" t="n">
        <x:v>0</x:v>
      </x:c>
      <x:c r="S41" s="47" t="n">
        <x:v>14060</x:v>
      </x:c>
      <x:c r="T41" s="47" t="n">
        <x:v>4727</x:v>
      </x:c>
      <x:c r="U41" s="47" t="n">
        <x:v>25968</x:v>
      </x:c>
      <x:c r="V41" s="47" t="n">
        <x:v>30299</x:v>
      </x:c>
      <x:c r="W41" s="47" t="n">
        <x:v>24301</x:v>
      </x:c>
      <x:c r="X41" s="47" t="n">
        <x:v>14876</x:v>
      </x:c>
      <x:c r="Y41" s="47" t="n">
        <x:v>458</x:v>
      </x:c>
      <x:c r="Z41" s="47" t="n">
        <x:f>SUM(D41:Y41)</x:f>
        <x:v>1168082</x:v>
      </x:c>
      <x:c r="AA41" t="str">
        <x:v>Source time period is not specified; not VAHAN monthly registrations</x:v>
      </x:c>
    </x:row>
    <x:row r="42">
      <x:c r="A42" t="str">
        <x:v>Jalna</x:v>
      </x:c>
      <x:c r="B42" t="str">
        <x:v>Jalna</x:v>
      </x:c>
      <x:c r="C42" t="str">
        <x:v>Office / local area</x:v>
      </x:c>
      <x:c r="D42" s="47" t="n">
        <x:v>217521</x:v>
      </x:c>
      <x:c r="E42" s="47" t="n">
        <x:v>14251</x:v>
      </x:c>
      <x:c r="F42" s="47" t="n">
        <x:v>12593</x:v>
      </x:c>
      <x:c r="G42" s="47" t="n">
        <x:v>10782</x:v>
      </x:c>
      <x:c r="H42" s="47" t="n">
        <x:v>6453</x:v>
      </x:c>
      <x:c r="I42" s="47" t="n">
        <x:v>128</x:v>
      </x:c>
      <x:c r="J42" s="47" t="n">
        <x:v>615</x:v>
      </x:c>
      <x:c r="K42" s="47" t="n">
        <x:v>142</x:v>
      </x:c>
      <x:c r="L42" s="47" t="n">
        <x:v>6478</x:v>
      </x:c>
      <x:c r="M42" s="47" t="n">
        <x:v>242</x:v>
      </x:c>
      <x:c r="N42" s="47" t="n">
        <x:v>27</x:v>
      </x:c>
      <x:c r="O42" s="47" t="n">
        <x:v>243</x:v>
      </x:c>
      <x:c r="P42" s="47" t="n">
        <x:v>8</x:v>
      </x:c>
      <x:c r="Q42" s="47" t="n">
        <x:v>118</x:v>
      </x:c>
      <x:c r="R42" s="47" t="n">
        <x:v>5</x:v>
      </x:c>
      <x:c r="S42" s="47" t="n">
        <x:v>3092</x:v>
      </x:c>
      <x:c r="T42" s="47" t="n">
        <x:v>265</x:v>
      </x:c>
      <x:c r="U42" s="47" t="n">
        <x:v>3783</x:v>
      </x:c>
      <x:c r="V42" s="47" t="n">
        <x:v>6547</x:v>
      </x:c>
      <x:c r="W42" s="47" t="n">
        <x:v>14387</x:v>
      </x:c>
      <x:c r="X42" s="47" t="n">
        <x:v>7279</x:v>
      </x:c>
      <x:c r="Y42" s="47" t="n">
        <x:v>528</x:v>
      </x:c>
      <x:c r="Z42" s="47" t="n">
        <x:f>SUM(D42:Y42)</x:f>
        <x:v>305487</x:v>
      </x:c>
      <x:c r="AA42" t="str">
        <x:v>Source time period is not specified; not VAHAN monthly registrations</x:v>
      </x:c>
    </x:row>
    <x:row r="43">
      <x:c r="A43" t="str">
        <x:v>Beed</x:v>
      </x:c>
      <x:c r="B43" t="str">
        <x:v>Beed</x:v>
      </x:c>
      <x:c r="C43" t="str">
        <x:v>Office / local area</x:v>
      </x:c>
      <x:c r="D43" s="47" t="n">
        <x:v>145223</x:v>
      </x:c>
      <x:c r="E43" s="47" t="n">
        <x:v>17487</x:v>
      </x:c>
      <x:c r="F43" s="47" t="n">
        <x:v>18602</x:v>
      </x:c>
      <x:c r="G43" s="47" t="n">
        <x:v>8559</x:v>
      </x:c>
      <x:c r="H43" s="47" t="n">
        <x:v>16648</x:v>
      </x:c>
      <x:c r="I43" s="47" t="n">
        <x:v>1</x:v>
      </x:c>
      <x:c r="J43" s="47" t="n">
        <x:v>0</x:v>
      </x:c>
      <x:c r="K43" s="47" t="n">
        <x:v>174</x:v>
      </x:c>
      <x:c r="L43" s="47" t="n">
        <x:v>8086</x:v>
      </x:c>
      <x:c r="M43" s="47" t="n">
        <x:v>440</x:v>
      </x:c>
      <x:c r="N43" s="47" t="n">
        <x:v>210</x:v>
      </x:c>
      <x:c r="O43" s="47" t="n">
        <x:v>46</x:v>
      </x:c>
      <x:c r="P43" s="47" t="n">
        <x:v>36</x:v>
      </x:c>
      <x:c r="Q43" s="47" t="n">
        <x:v>19</x:v>
      </x:c>
      <x:c r="R43" s="47" t="n">
        <x:v>70</x:v>
      </x:c>
      <x:c r="S43" s="47" t="n">
        <x:v>4286</x:v>
      </x:c>
      <x:c r="T43" s="47" t="n">
        <x:v>182</x:v>
      </x:c>
      <x:c r="U43" s="47" t="n">
        <x:v>5457</x:v>
      </x:c>
      <x:c r="V43" s="47" t="n">
        <x:v>9554</x:v>
      </x:c>
      <x:c r="W43" s="47" t="n">
        <x:v>9239</x:v>
      </x:c>
      <x:c r="X43" s="47" t="n">
        <x:v>5705</x:v>
      </x:c>
      <x:c r="Y43" s="47" t="n">
        <x:v>60</x:v>
      </x:c>
      <x:c r="Z43" s="47" t="n">
        <x:f>SUM(D43:Y43)</x:f>
        <x:v>250084</x:v>
      </x:c>
      <x:c r="AA43" t="str">
        <x:v>Source time period is not specified; not VAHAN monthly registrations</x:v>
      </x:c>
    </x:row>
    <x:row r="44">
      <x:c r="A44" t="str">
        <x:v>A'bad Region</x:v>
      </x:c>
      <x:c r="B44" t="str">
        <x:v>A'bad Region</x:v>
      </x:c>
      <x:c r="C44" t="str">
        <x:v>Region subtotal</x:v>
      </x:c>
      <x:c r="D44" s="47" t="n">
        <x:v>1145783</x:v>
      </x:c>
      <x:c r="E44" s="47" t="n">
        <x:v>121278</x:v>
      </x:c>
      <x:c r="F44" s="47" t="n">
        <x:v>78513</x:v>
      </x:c>
      <x:c r="G44" s="47" t="n">
        <x:v>81516</x:v>
      </x:c>
      <x:c r="H44" s="47" t="n">
        <x:v>52423</x:v>
      </x:c>
      <x:c r="I44" s="47" t="n">
        <x:v>581</x:v>
      </x:c>
      <x:c r="J44" s="47" t="n">
        <x:v>674</x:v>
      </x:c>
      <x:c r="K44" s="47" t="n">
        <x:v>3013</x:v>
      </x:c>
      <x:c r="L44" s="47" t="n">
        <x:v>42240</x:v>
      </x:c>
      <x:c r="M44" s="47" t="n">
        <x:v>6641</x:v>
      </x:c>
      <x:c r="N44" s="47" t="n">
        <x:v>1781</x:v>
      </x:c>
      <x:c r="O44" s="47" t="n">
        <x:v>1403</x:v>
      </x:c>
      <x:c r="P44" s="47" t="n">
        <x:v>2040</x:v>
      </x:c>
      <x:c r="Q44" s="47" t="n">
        <x:v>639</x:v>
      </x:c>
      <x:c r="R44" s="47" t="n">
        <x:v>75</x:v>
      </x:c>
      <x:c r="S44" s="47" t="n">
        <x:v>21438</x:v>
      </x:c>
      <x:c r="T44" s="47" t="n">
        <x:v>5174</x:v>
      </x:c>
      <x:c r="U44" s="47" t="n">
        <x:v>35208</x:v>
      </x:c>
      <x:c r="V44" s="47" t="n">
        <x:v>46400</x:v>
      </x:c>
      <x:c r="W44" s="47" t="n">
        <x:v>47927</x:v>
      </x:c>
      <x:c r="X44" s="47" t="n">
        <x:v>27860</x:v>
      </x:c>
      <x:c r="Y44" s="47" t="n">
        <x:v>1046</x:v>
      </x:c>
      <x:c r="Z44" s="47" t="n">
        <x:f>SUM(D44:Y44)</x:f>
        <x:v>1723653</x:v>
      </x:c>
      <x:c r="AA44" t="str">
        <x:v>Reported grouping is a subtotal; do not add to office records</x:v>
      </x:c>
    </x:row>
    <x:row r="45">
      <x:c r="A45" t="str">
        <x:v>Latur Total</x:v>
      </x:c>
      <x:c r="B45" t="str">
        <x:v>Latur Total</x:v>
      </x:c>
      <x:c r="C45" t="str">
        <x:v>Region subtotal</x:v>
      </x:c>
      <x:c r="D45" s="47" t="n">
        <x:v>230799</x:v>
      </x:c>
      <x:c r="E45" s="47" t="n">
        <x:v>28706</x:v>
      </x:c>
      <x:c r="F45" s="47" t="n">
        <x:v>39181</x:v>
      </x:c>
      <x:c r="G45" s="47" t="n">
        <x:v>28654</x:v>
      </x:c>
      <x:c r="H45" s="47" t="n">
        <x:v>13715</x:v>
      </x:c>
      <x:c r="I45" s="47" t="n">
        <x:v>129</x:v>
      </x:c>
      <x:c r="J45" s="47" t="n">
        <x:v>402</x:v>
      </x:c>
      <x:c r="K45" s="47" t="n">
        <x:v>1094</x:v>
      </x:c>
      <x:c r="L45" s="47" t="n">
        <x:v>11974</x:v>
      </x:c>
      <x:c r="M45" s="47" t="n">
        <x:v>12</x:v>
      </x:c>
      <x:c r="N45" s="47" t="n">
        <x:v>605</x:v>
      </x:c>
      <x:c r="O45" s="47" t="n">
        <x:v>512</x:v>
      </x:c>
      <x:c r="P45" s="47" t="n">
        <x:v>68</x:v>
      </x:c>
      <x:c r="Q45" s="47" t="n">
        <x:v>94</x:v>
      </x:c>
      <x:c r="R45" s="47" t="n">
        <x:v>167</x:v>
      </x:c>
      <x:c r="S45" s="47" t="n">
        <x:v>7744</x:v>
      </x:c>
      <x:c r="T45" s="47" t="n">
        <x:v>215</x:v>
      </x:c>
      <x:c r="U45" s="47" t="n">
        <x:v>10524</x:v>
      </x:c>
      <x:c r="V45" s="47" t="n">
        <x:v>7397</x:v>
      </x:c>
      <x:c r="W45" s="47" t="n">
        <x:v>12637</x:v>
      </x:c>
      <x:c r="X45" s="47" t="n">
        <x:v>6885</x:v>
      </x:c>
      <x:c r="Y45" s="47" t="n">
        <x:v>490</x:v>
      </x:c>
      <x:c r="Z45" s="47" t="n">
        <x:f>SUM(D45:Y45)</x:f>
        <x:v>402004</x:v>
      </x:c>
      <x:c r="AA45" t="str">
        <x:v>Aggregates other offices; do not double-count with local office records</x:v>
      </x:c>
    </x:row>
    <x:row r="46">
      <x:c r="A46" t="str">
        <x:v>O'sman- bad</x:v>
      </x:c>
      <x:c r="B46" t="str">
        <x:v>O'sman- bad</x:v>
      </x:c>
      <x:c r="C46" t="str">
        <x:v>Office / local area</x:v>
      </x:c>
      <x:c r="D46" s="47" t="n">
        <x:v>134739</x:v>
      </x:c>
      <x:c r="E46" s="47" t="n">
        <x:v>13233</x:v>
      </x:c>
      <x:c r="F46" s="47" t="n">
        <x:v>4941</x:v>
      </x:c>
      <x:c r="G46" s="47" t="n">
        <x:v>11227</x:v>
      </x:c>
      <x:c r="H46" s="47" t="n">
        <x:v>5919</x:v>
      </x:c>
      <x:c r="I46" s="47" t="n">
        <x:v>54</x:v>
      </x:c>
      <x:c r="J46" s="47" t="n">
        <x:v>0</x:v>
      </x:c>
      <x:c r="K46" s="47" t="n">
        <x:v>1412</x:v>
      </x:c>
      <x:c r="L46" s="47" t="n">
        <x:v>4801</x:v>
      </x:c>
      <x:c r="M46" s="47" t="n">
        <x:v>307</x:v>
      </x:c>
      <x:c r="N46" s="47" t="n">
        <x:v>22</x:v>
      </x:c>
      <x:c r="O46" s="47" t="n">
        <x:v>216</x:v>
      </x:c>
      <x:c r="P46" s="47" t="n">
        <x:v>8</x:v>
      </x:c>
      <x:c r="Q46" s="47" t="n">
        <x:v>64</x:v>
      </x:c>
      <x:c r="R46" s="47" t="n">
        <x:v>23</x:v>
      </x:c>
      <x:c r="S46" s="47" t="n">
        <x:v>5349</x:v>
      </x:c>
      <x:c r="T46" s="47" t="n">
        <x:v>183</x:v>
      </x:c>
      <x:c r="U46" s="47" t="n">
        <x:v>6053</x:v>
      </x:c>
      <x:c r="V46" s="47" t="n">
        <x:v>3308</x:v>
      </x:c>
      <x:c r="W46" s="47" t="n">
        <x:v>12775</x:v>
      </x:c>
      <x:c r="X46" s="47" t="n">
        <x:v>5265</x:v>
      </x:c>
      <x:c r="Y46" s="47" t="n">
        <x:v>445</x:v>
      </x:c>
      <x:c r="Z46" s="47" t="n">
        <x:f>SUM(D46:Y46)</x:f>
        <x:v>210344</x:v>
      </x:c>
      <x:c r="AA46" t="str">
        <x:v>Source time period is not specified; not VAHAN monthly registrations</x:v>
      </x:c>
    </x:row>
    <x:row r="47">
      <x:c r="A47" t="str">
        <x:v>A'mbe- jogai</x:v>
      </x:c>
      <x:c r="B47" t="str">
        <x:v>A'mbe- jogai</x:v>
      </x:c>
      <x:c r="C47" t="str">
        <x:v>Office / local area</x:v>
      </x:c>
      <x:c r="D47" s="47" t="n">
        <x:v>75859</x:v>
      </x:c>
      <x:c r="E47" s="47" t="n">
        <x:v>5744</x:v>
      </x:c>
      <x:c r="F47" s="47" t="n">
        <x:v>3717</x:v>
      </x:c>
      <x:c r="G47" s="47" t="n">
        <x:v>5664</x:v>
      </x:c>
      <x:c r="H47" s="47" t="n">
        <x:v>3376</x:v>
      </x:c>
      <x:c r="I47" s="47" t="n">
        <x:v>0</x:v>
      </x:c>
      <x:c r="J47" s="47" t="n">
        <x:v>67</x:v>
      </x:c>
      <x:c r="K47" s="47" t="n">
        <x:v>338</x:v>
      </x:c>
      <x:c r="L47" s="47" t="n">
        <x:v>3185</x:v>
      </x:c>
      <x:c r="M47" s="47" t="n">
        <x:v>0</x:v>
      </x:c>
      <x:c r="N47" s="47" t="n">
        <x:v>19</x:v>
      </x:c>
      <x:c r="O47" s="47" t="n">
        <x:v>118</x:v>
      </x:c>
      <x:c r="P47" s="47" t="n">
        <x:v>6</x:v>
      </x:c>
      <x:c r="Q47" s="47" t="n">
        <x:v>25</x:v>
      </x:c>
      <x:c r="R47" s="47" t="n">
        <x:v>256</x:v>
      </x:c>
      <x:c r="S47" s="47" t="n">
        <x:v>2550</x:v>
      </x:c>
      <x:c r="T47" s="47" t="n">
        <x:v>218</x:v>
      </x:c>
      <x:c r="U47" s="47" t="n">
        <x:v>2325</x:v>
      </x:c>
      <x:c r="V47" s="47" t="n">
        <x:v>3292</x:v>
      </x:c>
      <x:c r="W47" s="47" t="n">
        <x:v>4391</x:v>
      </x:c>
      <x:c r="X47" s="47" t="n">
        <x:v>2160</x:v>
      </x:c>
      <x:c r="Y47" s="47" t="n">
        <x:v>172</x:v>
      </x:c>
      <x:c r="Z47" s="47" t="n">
        <x:f>SUM(D47:Y47)</x:f>
        <x:v>113482</x:v>
      </x:c>
      <x:c r="AA47" t="str">
        <x:v>Source time period is not specified; not VAHAN monthly registrations</x:v>
      </x:c>
    </x:row>
    <x:row r="48">
      <x:c r="A48" t="str">
        <x:v>Latur Region</x:v>
      </x:c>
      <x:c r="B48" t="str">
        <x:v>Latur Region</x:v>
      </x:c>
      <x:c r="C48" t="str">
        <x:v>Region subtotal</x:v>
      </x:c>
      <x:c r="D48" s="47" t="n">
        <x:v>441397</x:v>
      </x:c>
      <x:c r="E48" s="47" t="n">
        <x:v>47683</x:v>
      </x:c>
      <x:c r="F48" s="47" t="n">
        <x:v>47839</x:v>
      </x:c>
      <x:c r="G48" s="47" t="n">
        <x:v>45545</x:v>
      </x:c>
      <x:c r="H48" s="47" t="n">
        <x:v>23010</x:v>
      </x:c>
      <x:c r="I48" s="47" t="n">
        <x:v>183</x:v>
      </x:c>
      <x:c r="J48" s="47" t="n">
        <x:v>469</x:v>
      </x:c>
      <x:c r="K48" s="47" t="n">
        <x:v>2844</x:v>
      </x:c>
      <x:c r="L48" s="47" t="n">
        <x:v>19960</x:v>
      </x:c>
      <x:c r="M48" s="47" t="n">
        <x:v>319</x:v>
      </x:c>
      <x:c r="N48" s="47" t="n">
        <x:v>646</x:v>
      </x:c>
      <x:c r="O48" s="47" t="n">
        <x:v>846</x:v>
      </x:c>
      <x:c r="P48" s="47" t="n">
        <x:v>82</x:v>
      </x:c>
      <x:c r="Q48" s="47" t="n">
        <x:v>183</x:v>
      </x:c>
      <x:c r="R48" s="47" t="n">
        <x:v>446</x:v>
      </x:c>
      <x:c r="S48" s="47" t="n">
        <x:v>15643</x:v>
      </x:c>
      <x:c r="T48" s="47" t="n">
        <x:v>616</x:v>
      </x:c>
      <x:c r="U48" s="47" t="n">
        <x:v>18902</x:v>
      </x:c>
      <x:c r="V48" s="47" t="n">
        <x:v>13997</x:v>
      </x:c>
      <x:c r="W48" s="47" t="n">
        <x:v>29803</x:v>
      </x:c>
      <x:c r="X48" s="47" t="n">
        <x:v>14310</x:v>
      </x:c>
      <x:c r="Y48" s="47" t="n">
        <x:v>1107</x:v>
      </x:c>
      <x:c r="Z48" s="47" t="n">
        <x:f>SUM(D48:Y48)</x:f>
        <x:v>725830</x:v>
      </x:c>
      <x:c r="AA48" t="str">
        <x:v>Reported grouping is a subtotal; do not add to office records</x:v>
      </x:c>
    </x:row>
    <x:row r="49">
      <x:c r="A49" t="str">
        <x:v>Nanded</x:v>
      </x:c>
      <x:c r="B49" t="str">
        <x:v>Nanded</x:v>
      </x:c>
      <x:c r="C49" t="str">
        <x:v>Office / local area</x:v>
      </x:c>
      <x:c r="D49" s="47" t="n">
        <x:v>326704</x:v>
      </x:c>
      <x:c r="E49" s="47" t="n">
        <x:v>16925</x:v>
      </x:c>
      <x:c r="F49" s="47" t="n">
        <x:v>29856</x:v>
      </x:c>
      <x:c r="G49" s="47" t="n">
        <x:v>22768</x:v>
      </x:c>
      <x:c r="H49" s="47" t="n">
        <x:v>9334</x:v>
      </x:c>
      <x:c r="I49" s="47" t="n">
        <x:v>58</x:v>
      </x:c>
      <x:c r="J49" s="47" t="n">
        <x:v>4</x:v>
      </x:c>
      <x:c r="K49" s="47" t="n">
        <x:v>1995</x:v>
      </x:c>
      <x:c r="L49" s="47" t="n">
        <x:v>25142</x:v>
      </x:c>
      <x:c r="M49" s="47" t="n">
        <x:v>445</x:v>
      </x:c>
      <x:c r="N49" s="47" t="n">
        <x:v>442</x:v>
      </x:c>
      <x:c r="O49" s="47" t="n">
        <x:v>389</x:v>
      </x:c>
      <x:c r="P49" s="47" t="n">
        <x:v>57</x:v>
      </x:c>
      <x:c r="Q49" s="47" t="n">
        <x:v>180</x:v>
      </x:c>
      <x:c r="R49" s="47" t="n">
        <x:v>2</x:v>
      </x:c>
      <x:c r="S49" s="47" t="n">
        <x:v>15234</x:v>
      </x:c>
      <x:c r="T49" s="47" t="n">
        <x:v>361</x:v>
      </x:c>
      <x:c r="U49" s="47" t="n">
        <x:v>8636</x:v>
      </x:c>
      <x:c r="V49" s="47" t="n">
        <x:v>9653</x:v>
      </x:c>
      <x:c r="W49" s="47" t="n">
        <x:v>7524</x:v>
      </x:c>
      <x:c r="X49" s="47" t="n">
        <x:v>4802</x:v>
      </x:c>
      <x:c r="Y49" s="47" t="n">
        <x:v>241</x:v>
      </x:c>
      <x:c r="Z49" s="47" t="n">
        <x:f>SUM(D49:Y49)</x:f>
        <x:v>480752</x:v>
      </x:c>
      <x:c r="AA49" t="str">
        <x:v>Source time period is not specified; not VAHAN monthly registrations</x:v>
      </x:c>
    </x:row>
    <x:row r="50">
      <x:c r="A50" t="str">
        <x:v>Parbhani</x:v>
      </x:c>
      <x:c r="B50" t="str">
        <x:v>Parbhani</x:v>
      </x:c>
      <x:c r="C50" t="str">
        <x:v>Office / local area</x:v>
      </x:c>
      <x:c r="D50" s="47" t="n">
        <x:v>187361</x:v>
      </x:c>
      <x:c r="E50" s="47" t="n">
        <x:v>5741</x:v>
      </x:c>
      <x:c r="F50" s="47" t="n">
        <x:v>12318</x:v>
      </x:c>
      <x:c r="G50" s="47" t="n">
        <x:v>12922</x:v>
      </x:c>
      <x:c r="H50" s="47" t="n">
        <x:v>9918</x:v>
      </x:c>
      <x:c r="I50" s="47" t="n">
        <x:v>18</x:v>
      </x:c>
      <x:c r="J50" s="47" t="n">
        <x:v>313</x:v>
      </x:c>
      <x:c r="K50" s="47" t="n">
        <x:v>238</x:v>
      </x:c>
      <x:c r="L50" s="47" t="n">
        <x:v>13262</x:v>
      </x:c>
      <x:c r="M50" s="47" t="n">
        <x:v>0</x:v>
      </x:c>
      <x:c r="N50" s="47" t="n">
        <x:v>150</x:v>
      </x:c>
      <x:c r="O50" s="47" t="n">
        <x:v>87</x:v>
      </x:c>
      <x:c r="P50" s="47" t="n">
        <x:v>8</x:v>
      </x:c>
      <x:c r="Q50" s="47" t="n">
        <x:v>144</x:v>
      </x:c>
      <x:c r="R50" s="47" t="n">
        <x:v>25</x:v>
      </x:c>
      <x:c r="S50" s="47" t="n">
        <x:v>5276</x:v>
      </x:c>
      <x:c r="T50" s="47" t="n">
        <x:v>218</x:v>
      </x:c>
      <x:c r="U50" s="47" t="n">
        <x:v>3390</x:v>
      </x:c>
      <x:c r="V50" s="47" t="n">
        <x:v>7295</x:v>
      </x:c>
      <x:c r="W50" s="47" t="n">
        <x:v>8848</x:v>
      </x:c>
      <x:c r="X50" s="47" t="n">
        <x:v>3696</x:v>
      </x:c>
      <x:c r="Y50" s="47" t="n">
        <x:v>384</x:v>
      </x:c>
      <x:c r="Z50" s="47" t="n">
        <x:f>SUM(D50:Y50)</x:f>
        <x:v>271612</x:v>
      </x:c>
      <x:c r="AA50" t="str">
        <x:v>Source time period is not specified; not VAHAN monthly registrations</x:v>
      </x:c>
    </x:row>
    <x:row r="51">
      <x:c r="A51" t="str">
        <x:v>Hingoli</x:v>
      </x:c>
      <x:c r="B51" t="str">
        <x:v>Hingoli</x:v>
      </x:c>
      <x:c r="C51" t="str">
        <x:v>Office / local area</x:v>
      </x:c>
      <x:c r="D51" s="47" t="n">
        <x:v>90596</x:v>
      </x:c>
      <x:c r="E51" s="47" t="n">
        <x:v>5123</x:v>
      </x:c>
      <x:c r="F51" s="47" t="n">
        <x:v>6700</x:v>
      </x:c>
      <x:c r="G51" s="47" t="n">
        <x:v>6030</x:v>
      </x:c>
      <x:c r="H51" s="47" t="n">
        <x:v>3973</x:v>
      </x:c>
      <x:c r="I51" s="47" t="n">
        <x:v>0</x:v>
      </x:c>
      <x:c r="J51" s="47" t="n">
        <x:v>150</x:v>
      </x:c>
      <x:c r="K51" s="47" t="n">
        <x:v>1145</x:v>
      </x:c>
      <x:c r="L51" s="47" t="n">
        <x:v>3880</x:v>
      </x:c>
      <x:c r="M51" s="47" t="n">
        <x:v>96</x:v>
      </x:c>
      <x:c r="N51" s="47" t="n">
        <x:v>141</x:v>
      </x:c>
      <x:c r="O51" s="47" t="n">
        <x:v>32</x:v>
      </x:c>
      <x:c r="P51" s="47" t="n">
        <x:v>24</x:v>
      </x:c>
      <x:c r="Q51" s="47" t="n">
        <x:v>56</x:v>
      </x:c>
      <x:c r="R51" s="47" t="n">
        <x:v>0</x:v>
      </x:c>
      <x:c r="S51" s="47" t="n">
        <x:v>1767</x:v>
      </x:c>
      <x:c r="T51" s="47" t="n">
        <x:v>70</x:v>
      </x:c>
      <x:c r="U51" s="47" t="n">
        <x:v>2903</x:v>
      </x:c>
      <x:c r="V51" s="47" t="n">
        <x:v>1045</x:v>
      </x:c>
      <x:c r="W51" s="47" t="n">
        <x:v>7119</x:v>
      </x:c>
      <x:c r="X51" s="47" t="n">
        <x:v>3644</x:v>
      </x:c>
      <x:c r="Y51" s="47" t="n">
        <x:v>51</x:v>
      </x:c>
      <x:c r="Z51" s="47" t="n">
        <x:f>SUM(D51:Y51)</x:f>
        <x:v>134545</x:v>
      </x:c>
      <x:c r="AA51" t="str">
        <x:v>Source time period is not specified; not VAHAN monthly registrations</x:v>
      </x:c>
    </x:row>
    <x:row r="52">
      <x:c r="A52" t="str">
        <x:v>Nanded Region</x:v>
      </x:c>
      <x:c r="B52" t="str">
        <x:v>Nanded Region</x:v>
      </x:c>
      <x:c r="C52" t="str">
        <x:v>Region subtotal</x:v>
      </x:c>
      <x:c r="D52" s="47" t="n">
        <x:v>604661</x:v>
      </x:c>
      <x:c r="E52" s="47" t="n">
        <x:v>27789</x:v>
      </x:c>
      <x:c r="F52" s="47" t="n">
        <x:v>48874</x:v>
      </x:c>
      <x:c r="G52" s="47" t="n">
        <x:v>41720</x:v>
      </x:c>
      <x:c r="H52" s="47" t="n">
        <x:v>23225</x:v>
      </x:c>
      <x:c r="I52" s="47" t="n">
        <x:v>76</x:v>
      </x:c>
      <x:c r="J52" s="47" t="n">
        <x:v>2448</x:v>
      </x:c>
      <x:c r="K52" s="47" t="n">
        <x:v>1397</x:v>
      </x:c>
      <x:c r="L52" s="47" t="n">
        <x:v>42284</x:v>
      </x:c>
      <x:c r="M52" s="47" t="n">
        <x:v>541</x:v>
      </x:c>
      <x:c r="N52" s="47" t="n">
        <x:v>733</x:v>
      </x:c>
      <x:c r="O52" s="47" t="n">
        <x:v>508</x:v>
      </x:c>
      <x:c r="P52" s="47" t="n">
        <x:v>89</x:v>
      </x:c>
      <x:c r="Q52" s="47" t="n">
        <x:v>380</x:v>
      </x:c>
      <x:c r="R52" s="47" t="n">
        <x:v>27</x:v>
      </x:c>
      <x:c r="S52" s="47" t="n">
        <x:v>22277</x:v>
      </x:c>
      <x:c r="T52" s="47" t="n">
        <x:v>649</x:v>
      </x:c>
      <x:c r="U52" s="47" t="n">
        <x:v>14929</x:v>
      </x:c>
      <x:c r="V52" s="47" t="n">
        <x:v>17993</x:v>
      </x:c>
      <x:c r="W52" s="47" t="n">
        <x:v>23491</x:v>
      </x:c>
      <x:c r="X52" s="47" t="n">
        <x:v>12142</x:v>
      </x:c>
      <x:c r="Y52" s="47" t="n">
        <x:v>676</x:v>
      </x:c>
      <x:c r="Z52" s="47" t="n">
        <x:f>SUM(D52:Y52)</x:f>
        <x:v>886909</x:v>
      </x:c>
      <x:c r="AA52" t="str">
        <x:v>Reported grouping is a subtotal; do not add to office records</x:v>
      </x:c>
    </x:row>
    <x:row r="53">
      <x:c r="A53" t="str">
        <x:v>Amaravati</x:v>
      </x:c>
      <x:c r="B53" t="str">
        <x:v>Amaravati</x:v>
      </x:c>
      <x:c r="C53" t="str">
        <x:v>Office / local area</x:v>
      </x:c>
      <x:c r="D53" s="47" t="n">
        <x:v>368385</x:v>
      </x:c>
      <x:c r="E53" s="47" t="n">
        <x:v>80049</x:v>
      </x:c>
      <x:c r="F53" s="47" t="n">
        <x:v>77503</x:v>
      </x:c>
      <x:c r="G53" s="47" t="n">
        <x:v>40472</x:v>
      </x:c>
      <x:c r="H53" s="47" t="n">
        <x:v>5752</x:v>
      </x:c>
      <x:c r="I53" s="47" t="n">
        <x:v>363</x:v>
      </x:c>
      <x:c r="J53" s="47" t="n">
        <x:v>51</x:v>
      </x:c>
      <x:c r="K53" s="47" t="n">
        <x:v>1605</x:v>
      </x:c>
      <x:c r="L53" s="47" t="n">
        <x:v>16506</x:v>
      </x:c>
      <x:c r="M53" s="47" t="n">
        <x:v>561</x:v>
      </x:c>
      <x:c r="N53" s="47" t="n">
        <x:v>430</x:v>
      </x:c>
      <x:c r="O53" s="47" t="n">
        <x:v>510</x:v>
      </x:c>
      <x:c r="P53" s="47" t="n">
        <x:v>139</x:v>
      </x:c>
      <x:c r="Q53" s="47" t="n">
        <x:v>311</x:v>
      </x:c>
      <x:c r="R53" s="47" t="n">
        <x:v>56</x:v>
      </x:c>
      <x:c r="S53" s="47" t="n">
        <x:v>8461</x:v>
      </x:c>
      <x:c r="T53" s="47" t="n">
        <x:v>259</x:v>
      </x:c>
      <x:c r="U53" s="47" t="n">
        <x:v>8227</x:v>
      </x:c>
      <x:c r="V53" s="47" t="n">
        <x:v>4475</x:v>
      </x:c>
      <x:c r="W53" s="47" t="n">
        <x:v>14859</x:v>
      </x:c>
      <x:c r="X53" s="47" t="n">
        <x:v>9146</x:v>
      </x:c>
      <x:c r="Y53" s="47" t="n">
        <x:v>567</x:v>
      </x:c>
      <x:c r="Z53" s="47" t="n">
        <x:f>SUM(D53:Y53)</x:f>
        <x:v>638687</x:v>
      </x:c>
      <x:c r="AA53" t="str">
        <x:v>Source time period is not specified; not VAHAN monthly registrations</x:v>
      </x:c>
    </x:row>
    <x:row r="54">
      <x:c r="A54" t="str">
        <x:v>Buldhana</x:v>
      </x:c>
      <x:c r="B54" t="str">
        <x:v>Buldhana</x:v>
      </x:c>
      <x:c r="C54" t="str">
        <x:v>Office / local area</x:v>
      </x:c>
      <x:c r="D54" s="47" t="n">
        <x:v>235856</x:v>
      </x:c>
      <x:c r="E54" s="47" t="n">
        <x:v>22868</x:v>
      </x:c>
      <x:c r="F54" s="47" t="n">
        <x:v>28439</x:v>
      </x:c>
      <x:c r="G54" s="47" t="n">
        <x:v>12518</x:v>
      </x:c>
      <x:c r="H54" s="47" t="n">
        <x:v>6565</x:v>
      </x:c>
      <x:c r="I54" s="47" t="n">
        <x:v>186</x:v>
      </x:c>
      <x:c r="J54" s="47" t="n">
        <x:v>159</x:v>
      </x:c>
      <x:c r="K54" s="47" t="n">
        <x:v>1663</x:v>
      </x:c>
      <x:c r="L54" s="47" t="n">
        <x:v>14563</x:v>
      </x:c>
      <x:c r="M54" s="47" t="n">
        <x:v>442</x:v>
      </x:c>
      <x:c r="N54" s="47" t="n">
        <x:v>99</x:v>
      </x:c>
      <x:c r="O54" s="47" t="n">
        <x:v>305</x:v>
      </x:c>
      <x:c r="P54" s="47" t="n">
        <x:v>54</x:v>
      </x:c>
      <x:c r="Q54" s="47" t="n">
        <x:v>178</x:v>
      </x:c>
      <x:c r="R54" s="47" t="n">
        <x:v>21</x:v>
      </x:c>
      <x:c r="S54" s="47" t="n">
        <x:v>3132</x:v>
      </x:c>
      <x:c r="T54" s="47" t="n">
        <x:v>60</x:v>
      </x:c>
      <x:c r="U54" s="47" t="n">
        <x:v>5622</x:v>
      </x:c>
      <x:c r="V54" s="47" t="n">
        <x:v>5094</x:v>
      </x:c>
      <x:c r="W54" s="47" t="n">
        <x:v>20962</x:v>
      </x:c>
      <x:c r="X54" s="47" t="n">
        <x:v>11645</x:v>
      </x:c>
      <x:c r="Y54" s="47" t="n">
        <x:v>178</x:v>
      </x:c>
      <x:c r="Z54" s="47" t="n">
        <x:f>SUM(D54:Y54)</x:f>
        <x:v>370609</x:v>
      </x:c>
      <x:c r="AA54" t="str">
        <x:v>Source time period is not specified; not VAHAN monthly registrations</x:v>
      </x:c>
    </x:row>
    <x:row r="55">
      <x:c r="A55" t="str">
        <x:v>Yavatmal</x:v>
      </x:c>
      <x:c r="B55" t="str">
        <x:v>Yavatmal</x:v>
      </x:c>
      <x:c r="C55" t="str">
        <x:v>Office / local area</x:v>
      </x:c>
      <x:c r="D55" s="47" t="n">
        <x:v>222535</x:v>
      </x:c>
      <x:c r="E55" s="47" t="n">
        <x:v>48910</x:v>
      </x:c>
      <x:c r="F55" s="47" t="n">
        <x:v>51705</x:v>
      </x:c>
      <x:c r="G55" s="47" t="n">
        <x:v>18035</x:v>
      </x:c>
      <x:c r="H55" s="47" t="n">
        <x:v>6658</x:v>
      </x:c>
      <x:c r="I55" s="47" t="n">
        <x:v>41</x:v>
      </x:c>
      <x:c r="J55" s="47" t="n">
        <x:v>69</x:v>
      </x:c>
      <x:c r="K55" s="47" t="n">
        <x:v>1453</x:v>
      </x:c>
      <x:c r="L55" s="47" t="n">
        <x:v>13430</x:v>
      </x:c>
      <x:c r="M55" s="47" t="n">
        <x:v>395</x:v>
      </x:c>
      <x:c r="N55" s="47" t="n">
        <x:v>424</x:v>
      </x:c>
      <x:c r="O55" s="47" t="n">
        <x:v>379</x:v>
      </x:c>
      <x:c r="P55" s="47" t="n">
        <x:v>103</x:v>
      </x:c>
      <x:c r="Q55" s="47" t="n">
        <x:v>121</x:v>
      </x:c>
      <x:c r="R55" s="47" t="n">
        <x:v>330</x:v>
      </x:c>
      <x:c r="S55" s="47" t="n">
        <x:v>5034</x:v>
      </x:c>
      <x:c r="T55" s="47" t="n">
        <x:v>119</x:v>
      </x:c>
      <x:c r="U55" s="47" t="n">
        <x:v>6391</x:v>
      </x:c>
      <x:c r="V55" s="47" t="n">
        <x:v>3649</x:v>
      </x:c>
      <x:c r="W55" s="47" t="n">
        <x:v>10128</x:v>
      </x:c>
      <x:c r="X55" s="47" t="n">
        <x:v>6467</x:v>
      </x:c>
      <x:c r="Y55" s="47" t="n">
        <x:v>47</x:v>
      </x:c>
      <x:c r="Z55" s="47" t="n">
        <x:f>SUM(D55:Y55)</x:f>
        <x:v>396423</x:v>
      </x:c>
      <x:c r="AA55" t="str">
        <x:v>Source time period is not specified; not VAHAN monthly registrations</x:v>
      </x:c>
    </x:row>
    <x:row r="56">
      <x:c r="A56" t="str">
        <x:v>Akola</x:v>
      </x:c>
      <x:c r="B56" t="str">
        <x:v>Akola</x:v>
      </x:c>
      <x:c r="C56" t="str">
        <x:v>Office / local area</x:v>
      </x:c>
      <x:c r="D56" s="47" t="n">
        <x:v>202495</x:v>
      </x:c>
      <x:c r="E56" s="47" t="n">
        <x:v>69685</x:v>
      </x:c>
      <x:c r="F56" s="47" t="n">
        <x:v>32703</x:v>
      </x:c>
      <x:c r="G56" s="47" t="n">
        <x:v>22619</x:v>
      </x:c>
      <x:c r="H56" s="47" t="n">
        <x:v>4409</x:v>
      </x:c>
      <x:c r="I56" s="47" t="n">
        <x:v>8</x:v>
      </x:c>
      <x:c r="J56" s="47" t="n">
        <x:v>48</x:v>
      </x:c>
      <x:c r="K56" s="47" t="n">
        <x:v>1997</x:v>
      </x:c>
      <x:c r="L56" s="47" t="n">
        <x:v>14010</x:v>
      </x:c>
      <x:c r="M56" s="47" t="n">
        <x:v>463</x:v>
      </x:c>
      <x:c r="N56" s="47" t="n">
        <x:v>229</x:v>
      </x:c>
      <x:c r="O56" s="47" t="n">
        <x:v>214</x:v>
      </x:c>
      <x:c r="P56" s="47" t="n">
        <x:v>44</x:v>
      </x:c>
      <x:c r="Q56" s="47" t="n">
        <x:v>167</x:v>
      </x:c>
      <x:c r="R56" s="47" t="n">
        <x:v>6</x:v>
      </x:c>
      <x:c r="S56" s="47" t="n">
        <x:v>4931</x:v>
      </x:c>
      <x:c r="T56" s="47" t="n">
        <x:v>155</x:v>
      </x:c>
      <x:c r="U56" s="47" t="n">
        <x:v>6205</x:v>
      </x:c>
      <x:c r="V56" s="47" t="n">
        <x:v>3039</x:v>
      </x:c>
      <x:c r="W56" s="47" t="n">
        <x:v>11392</x:v>
      </x:c>
      <x:c r="X56" s="47" t="n">
        <x:v>7376</x:v>
      </x:c>
      <x:c r="Y56" s="47" t="n">
        <x:v>469</x:v>
      </x:c>
      <x:c r="Z56" s="47" t="n">
        <x:f>SUM(D56:Y56)</x:f>
        <x:v>382664</x:v>
      </x:c>
      <x:c r="AA56" t="str">
        <x:v>Source time period is not specified; not VAHAN monthly registrations</x:v>
      </x:c>
    </x:row>
    <x:row r="57">
      <x:c r="A57" t="str">
        <x:v>Washim</x:v>
      </x:c>
      <x:c r="B57" t="str">
        <x:v>Washim</x:v>
      </x:c>
      <x:c r="C57" t="str">
        <x:v>Office / local area</x:v>
      </x:c>
      <x:c r="D57" s="47" t="n">
        <x:v>111664</x:v>
      </x:c>
      <x:c r="E57" s="47" t="n">
        <x:v>20466</x:v>
      </x:c>
      <x:c r="F57" s="47" t="n">
        <x:v>17409</x:v>
      </x:c>
      <x:c r="G57" s="47" t="n">
        <x:v>6082</x:v>
      </x:c>
      <x:c r="H57" s="47" t="n">
        <x:v>3826</x:v>
      </x:c>
      <x:c r="I57" s="47" t="n">
        <x:v>2</x:v>
      </x:c>
      <x:c r="J57" s="47" t="n">
        <x:v>4</x:v>
      </x:c>
      <x:c r="K57" s="47" t="n">
        <x:v>516</x:v>
      </x:c>
      <x:c r="L57" s="47" t="n">
        <x:v>7891</x:v>
      </x:c>
      <x:c r="M57" s="47" t="n">
        <x:v>1</x:v>
      </x:c>
      <x:c r="N57" s="47" t="n">
        <x:v>61</x:v>
      </x:c>
      <x:c r="O57" s="47" t="n">
        <x:v>77</x:v>
      </x:c>
      <x:c r="P57" s="47" t="n">
        <x:v>3</x:v>
      </x:c>
      <x:c r="Q57" s="47" t="n">
        <x:v>66</x:v>
      </x:c>
      <x:c r="R57" s="47" t="n">
        <x:v>4</x:v>
      </x:c>
      <x:c r="S57" s="47" t="n">
        <x:v>1433</x:v>
      </x:c>
      <x:c r="T57" s="47" t="n">
        <x:v>41</x:v>
      </x:c>
      <x:c r="U57" s="47" t="n">
        <x:v>2953</x:v>
      </x:c>
      <x:c r="V57" s="47" t="n">
        <x:v>1426</x:v>
      </x:c>
      <x:c r="W57" s="47" t="n">
        <x:v>10860</x:v>
      </x:c>
      <x:c r="X57" s="47" t="n">
        <x:v>6714</x:v>
      </x:c>
      <x:c r="Y57" s="47" t="n">
        <x:v>71</x:v>
      </x:c>
      <x:c r="Z57" s="47" t="n">
        <x:f>SUM(D57:Y57)</x:f>
        <x:v>191570</x:v>
      </x:c>
      <x:c r="AA57" t="str">
        <x:v>Source time period is not specified; not VAHAN monthly registrations</x:v>
      </x:c>
    </x:row>
    <x:row r="58">
      <x:c r="A58" t="str">
        <x:v>Amravati Region</x:v>
      </x:c>
      <x:c r="B58" t="str">
        <x:v>Amravati Region</x:v>
      </x:c>
      <x:c r="C58" t="str">
        <x:v>Region subtotal</x:v>
      </x:c>
      <x:c r="D58" s="47" t="n">
        <x:v>1140935</x:v>
      </x:c>
      <x:c r="E58" s="47" t="n">
        <x:v>241978</x:v>
      </x:c>
      <x:c r="F58" s="47" t="n">
        <x:v>207759</x:v>
      </x:c>
      <x:c r="G58" s="47" t="n">
        <x:v>99726</x:v>
      </x:c>
      <x:c r="H58" s="47" t="n">
        <x:v>27210</x:v>
      </x:c>
      <x:c r="I58" s="47" t="n">
        <x:v>600</x:v>
      </x:c>
      <x:c r="J58" s="47" t="n">
        <x:v>331</x:v>
      </x:c>
      <x:c r="K58" s="47" t="n">
        <x:v>7234</x:v>
      </x:c>
      <x:c r="L58" s="47" t="n">
        <x:v>66400</x:v>
      </x:c>
      <x:c r="M58" s="47" t="n">
        <x:v>1862</x:v>
      </x:c>
      <x:c r="N58" s="47" t="n">
        <x:v>1243</x:v>
      </x:c>
      <x:c r="O58" s="47" t="n">
        <x:v>1485</x:v>
      </x:c>
      <x:c r="P58" s="47" t="n">
        <x:v>343</x:v>
      </x:c>
      <x:c r="Q58" s="47" t="n">
        <x:v>843</x:v>
      </x:c>
      <x:c r="R58" s="47" t="n">
        <x:v>417</x:v>
      </x:c>
      <x:c r="S58" s="47" t="n">
        <x:v>22991</x:v>
      </x:c>
      <x:c r="T58" s="47" t="n">
        <x:v>634</x:v>
      </x:c>
      <x:c r="U58" s="47" t="n">
        <x:v>29398</x:v>
      </x:c>
      <x:c r="V58" s="47" t="n">
        <x:v>17683</x:v>
      </x:c>
      <x:c r="W58" s="47" t="n">
        <x:v>68201</x:v>
      </x:c>
      <x:c r="X58" s="47" t="n">
        <x:v>41348</x:v>
      </x:c>
      <x:c r="Y58" s="47" t="n">
        <x:v>1332</x:v>
      </x:c>
      <x:c r="Z58" s="47" t="n">
        <x:f>SUM(D58:Y58)</x:f>
        <x:v>1979953</x:v>
      </x:c>
      <x:c r="AA58" t="str">
        <x:v>Reported grouping is a subtotal; do not add to office records</x:v>
      </x:c>
    </x:row>
    <x:row r="59">
      <x:c r="A59" t="str">
        <x:v>Nagpur (City)</x:v>
      </x:c>
      <x:c r="B59" t="str">
        <x:v>Nagpur (City)</x:v>
      </x:c>
      <x:c r="C59" t="str">
        <x:v>Office / local area</x:v>
      </x:c>
      <x:c r="D59" s="47" t="n">
        <x:v>471789</x:v>
      </x:c>
      <x:c r="E59" s="47" t="n">
        <x:v>327913</x:v>
      </x:c>
      <x:c r="F59" s="47" t="n">
        <x:v>282745</x:v>
      </x:c>
      <x:c r="G59" s="47" t="n">
        <x:v>112154</x:v>
      </x:c>
      <x:c r="H59" s="47" t="n">
        <x:v>31870</x:v>
      </x:c>
      <x:c r="I59" s="47" t="n">
        <x:v>842</x:v>
      </x:c>
      <x:c r="J59" s="47" t="n">
        <x:v>47</x:v>
      </x:c>
      <x:c r="K59" s="47" t="n">
        <x:v>3950</x:v>
      </x:c>
      <x:c r="L59" s="47" t="n">
        <x:v>8984</x:v>
      </x:c>
      <x:c r="M59" s="47" t="n">
        <x:v>1779</x:v>
      </x:c>
      <x:c r="N59" s="47" t="n">
        <x:v>939</x:v>
      </x:c>
      <x:c r="O59" s="47" t="n">
        <x:v>999</x:v>
      </x:c>
      <x:c r="P59" s="47" t="n">
        <x:v>1317</x:v>
      </x:c>
      <x:c r="Q59" s="47" t="n">
        <x:v>640</x:v>
      </x:c>
      <x:c r="R59" s="47" t="n">
        <x:v>936</x:v>
      </x:c>
      <x:c r="S59" s="47" t="n">
        <x:v>12175</x:v>
      </x:c>
      <x:c r="T59" s="47" t="n">
        <x:v>2589</x:v>
      </x:c>
      <x:c r="U59" s="47" t="n">
        <x:v>15412</x:v>
      </x:c>
      <x:c r="V59" s="47" t="n">
        <x:v>7387</x:v>
      </x:c>
      <x:c r="W59" s="47" t="n">
        <x:v>5488</x:v>
      </x:c>
      <x:c r="X59" s="47" t="n">
        <x:v>5405</x:v>
      </x:c>
      <x:c r="Y59" s="47" t="n">
        <x:v>1260</x:v>
      </x:c>
      <x:c r="Z59" s="47" t="n">
        <x:f>SUM(D59:Y59)</x:f>
        <x:v>1296620</x:v>
      </x:c>
      <x:c r="AA59" t="str">
        <x:v>Source time period is not specified; not VAHAN monthly registrations</x:v>
      </x:c>
    </x:row>
    <x:row r="60">
      <x:c r="A60" t="str">
        <x:v>Wardha</x:v>
      </x:c>
      <x:c r="B60" t="str">
        <x:v>Wardha</x:v>
      </x:c>
      <x:c r="C60" t="str">
        <x:v>Office / local area</x:v>
      </x:c>
      <x:c r="D60" s="47" t="n">
        <x:v>137670</x:v>
      </x:c>
      <x:c r="E60" s="47" t="n">
        <x:v>17197</x:v>
      </x:c>
      <x:c r="F60" s="47" t="n">
        <x:v>43446</x:v>
      </x:c>
      <x:c r="G60" s="47" t="n">
        <x:v>11457</x:v>
      </x:c>
      <x:c r="H60" s="47" t="n">
        <x:v>3570</x:v>
      </x:c>
      <x:c r="I60" s="47" t="n">
        <x:v>62</x:v>
      </x:c>
      <x:c r="J60" s="47" t="n">
        <x:v>0</x:v>
      </x:c>
      <x:c r="K60" s="47" t="n">
        <x:v>355</x:v>
      </x:c>
      <x:c r="L60" s="47" t="n">
        <x:v>4868</x:v>
      </x:c>
      <x:c r="M60" s="47" t="n">
        <x:v>240</x:v>
      </x:c>
      <x:c r="N60" s="47" t="n">
        <x:v>128</x:v>
      </x:c>
      <x:c r="O60" s="47" t="n">
        <x:v>366</x:v>
      </x:c>
      <x:c r="P60" s="47" t="n">
        <x:v>46</x:v>
      </x:c>
      <x:c r="Q60" s="47" t="n">
        <x:v>79</x:v>
      </x:c>
      <x:c r="R60" s="47" t="n">
        <x:v>176</x:v>
      </x:c>
      <x:c r="S60" s="47" t="n">
        <x:v>1687</x:v>
      </x:c>
      <x:c r="T60" s="47" t="n">
        <x:v>51</x:v>
      </x:c>
      <x:c r="U60" s="47" t="n">
        <x:v>3735</x:v>
      </x:c>
      <x:c r="V60" s="47" t="n">
        <x:v>3162</x:v>
      </x:c>
      <x:c r="W60" s="47" t="n">
        <x:v>7776</x:v>
      </x:c>
      <x:c r="X60" s="47" t="n">
        <x:v>3144</x:v>
      </x:c>
      <x:c r="Y60" s="47" t="n">
        <x:v>482</x:v>
      </x:c>
      <x:c r="Z60" s="47" t="n">
        <x:f>SUM(D60:Y60)</x:f>
        <x:v>239697</x:v>
      </x:c>
      <x:c r="AA60" t="str">
        <x:v>Source time period is not specified; not VAHAN monthly registrations</x:v>
      </x:c>
    </x:row>
    <x:row r="61">
      <x:c r="A61" t="str">
        <x:v>Nagpur (East)</x:v>
      </x:c>
      <x:c r="B61" t="str">
        <x:v>Nagpur (East)</x:v>
      </x:c>
      <x:c r="C61" t="str">
        <x:v>Office / local area</x:v>
      </x:c>
      <x:c r="D61" s="47" t="n">
        <x:v>153781</x:v>
      </x:c>
      <x:c r="E61" s="47" t="n">
        <x:v>16640</x:v>
      </x:c>
      <x:c r="F61" s="47" t="n">
        <x:v>682</x:v>
      </x:c>
      <x:c r="G61" s="47" t="n">
        <x:v>21044</x:v>
      </x:c>
      <x:c r="H61" s="47" t="n">
        <x:v>6862</x:v>
      </x:c>
      <x:c r="I61" s="47" t="n">
        <x:v>0</x:v>
      </x:c>
      <x:c r="J61" s="47" t="n">
        <x:v>36</x:v>
      </x:c>
      <x:c r="K61" s="47" t="n">
        <x:v>1700</x:v>
      </x:c>
      <x:c r="L61" s="47" t="n">
        <x:v>7752</x:v>
      </x:c>
      <x:c r="M61" s="47" t="n">
        <x:v>0</x:v>
      </x:c>
      <x:c r="N61" s="47" t="n">
        <x:v>214</x:v>
      </x:c>
      <x:c r="O61" s="47" t="n">
        <x:v>975</x:v>
      </x:c>
      <x:c r="P61" s="47" t="n">
        <x:v>19</x:v>
      </x:c>
      <x:c r="Q61" s="47" t="n">
        <x:v>124</x:v>
      </x:c>
      <x:c r="R61" s="47" t="n">
        <x:v>324</x:v>
      </x:c>
      <x:c r="S61" s="47" t="n">
        <x:v>3553</x:v>
      </x:c>
      <x:c r="T61" s="47" t="n">
        <x:v>394</x:v>
      </x:c>
      <x:c r="U61" s="47" t="n">
        <x:v>5368</x:v>
      </x:c>
      <x:c r="V61" s="47" t="n">
        <x:v>3637</x:v>
      </x:c>
      <x:c r="W61" s="47" t="n">
        <x:v>285</x:v>
      </x:c>
      <x:c r="X61" s="47" t="n">
        <x:v>38</x:v>
      </x:c>
      <x:c r="Y61" s="47" t="n">
        <x:v>24</x:v>
      </x:c>
      <x:c r="Z61" s="47" t="n">
        <x:f>SUM(D61:Y61)</x:f>
        <x:v>223452</x:v>
      </x:c>
      <x:c r="AA61" t="str">
        <x:v>Source time period is not specified; not VAHAN monthly registrations</x:v>
      </x:c>
    </x:row>
    <x:row r="62">
      <x:c r="A62" t="str">
        <x:v>Nag.(U) Region</x:v>
      </x:c>
      <x:c r="B62" t="str">
        <x:v>Nag.(U) Region</x:v>
      </x:c>
      <x:c r="C62" t="str">
        <x:v>Region subtotal</x:v>
      </x:c>
      <x:c r="D62" s="47" t="n">
        <x:v>763240</x:v>
      </x:c>
      <x:c r="E62" s="47" t="n">
        <x:v>361750</x:v>
      </x:c>
      <x:c r="F62" s="47" t="n">
        <x:v>326873</x:v>
      </x:c>
      <x:c r="G62" s="47" t="n">
        <x:v>144655</x:v>
      </x:c>
      <x:c r="H62" s="47" t="n">
        <x:v>42302</x:v>
      </x:c>
      <x:c r="I62" s="47" t="n">
        <x:v>904</x:v>
      </x:c>
      <x:c r="J62" s="47" t="n">
        <x:v>83</x:v>
      </x:c>
      <x:c r="K62" s="47" t="n">
        <x:v>6005</x:v>
      </x:c>
      <x:c r="L62" s="47" t="n">
        <x:v>21604</x:v>
      </x:c>
      <x:c r="M62" s="47" t="n">
        <x:v>2019</x:v>
      </x:c>
      <x:c r="N62" s="47" t="n">
        <x:v>1281</x:v>
      </x:c>
      <x:c r="O62" s="47" t="n">
        <x:v>2340</x:v>
      </x:c>
      <x:c r="P62" s="47" t="n">
        <x:v>1382</x:v>
      </x:c>
      <x:c r="Q62" s="47" t="n">
        <x:v>843</x:v>
      </x:c>
      <x:c r="R62" s="47" t="n">
        <x:v>1436</x:v>
      </x:c>
      <x:c r="S62" s="47" t="n">
        <x:v>17415</x:v>
      </x:c>
      <x:c r="T62" s="47" t="n">
        <x:v>3034</x:v>
      </x:c>
      <x:c r="U62" s="47" t="n">
        <x:v>24515</x:v>
      </x:c>
      <x:c r="V62" s="47" t="n">
        <x:v>14186</x:v>
      </x:c>
      <x:c r="W62" s="47" t="n">
        <x:v>13549</x:v>
      </x:c>
      <x:c r="X62" s="47" t="n">
        <x:v>8587</x:v>
      </x:c>
      <x:c r="Y62" s="47" t="n">
        <x:v>1766</x:v>
      </x:c>
      <x:c r="Z62" s="47" t="n">
        <x:f>SUM(D62:Y62)</x:f>
        <x:v>1759769</x:v>
      </x:c>
      <x:c r="AA62" t="str">
        <x:v>Reported grouping is a subtotal; do not add to office records</x:v>
      </x:c>
    </x:row>
    <x:row r="63">
      <x:c r="A63" t="str">
        <x:v>Nagpur (Rural)</x:v>
      </x:c>
      <x:c r="B63" t="str">
        <x:v>Nagpur (Rural)</x:v>
      </x:c>
      <x:c r="C63" t="str">
        <x:v>Office / local area</x:v>
      </x:c>
      <x:c r="D63" s="47" t="n">
        <x:v>251578</x:v>
      </x:c>
      <x:c r="E63" s="47" t="n">
        <x:v>72901</x:v>
      </x:c>
      <x:c r="F63" s="47" t="n">
        <x:v>29604</x:v>
      </x:c>
      <x:c r="G63" s="47" t="n">
        <x:v>24527</x:v>
      </x:c>
      <x:c r="H63" s="47" t="n">
        <x:v>12960</x:v>
      </x:c>
      <x:c r="I63" s="47" t="n">
        <x:v>33</x:v>
      </x:c>
      <x:c r="J63" s="47" t="n">
        <x:v>0</x:v>
      </x:c>
      <x:c r="K63" s="47" t="n">
        <x:v>1572</x:v>
      </x:c>
      <x:c r="L63" s="47" t="n">
        <x:v>5020</x:v>
      </x:c>
      <x:c r="M63" s="47" t="n">
        <x:v>2881</x:v>
      </x:c>
      <x:c r="N63" s="47" t="n">
        <x:v>494</x:v>
      </x:c>
      <x:c r="O63" s="47" t="n">
        <x:v>1273</x:v>
      </x:c>
      <x:c r="P63" s="47" t="n">
        <x:v>323</x:v>
      </x:c>
      <x:c r="Q63" s="47" t="n">
        <x:v>217</x:v>
      </x:c>
      <x:c r="R63" s="47" t="n">
        <x:v>1174</x:v>
      </x:c>
      <x:c r="S63" s="47" t="n">
        <x:v>10541</x:v>
      </x:c>
      <x:c r="T63" s="47" t="n">
        <x:v>157</x:v>
      </x:c>
      <x:c r="U63" s="47" t="n">
        <x:v>10928</x:v>
      </x:c>
      <x:c r="V63" s="47" t="n">
        <x:v>2111</x:v>
      </x:c>
      <x:c r="W63" s="47" t="n">
        <x:v>11515</x:v>
      </x:c>
      <x:c r="X63" s="47" t="n">
        <x:v>3495</x:v>
      </x:c>
      <x:c r="Y63" s="47" t="n">
        <x:v>1185</x:v>
      </x:c>
      <x:c r="Z63" s="47" t="n">
        <x:f>SUM(D63:Y63)</x:f>
        <x:v>444489</x:v>
      </x:c>
      <x:c r="AA63" t="str">
        <x:v>Source time period is not specified; not VAHAN monthly registrations</x:v>
      </x:c>
    </x:row>
    <x:row r="64">
      <x:c r="A64" t="str">
        <x:v>Gadchiroli</x:v>
      </x:c>
      <x:c r="B64" t="str">
        <x:v>Gadchiroli</x:v>
      </x:c>
      <x:c r="C64" t="str">
        <x:v>Office / local area</x:v>
      </x:c>
      <x:c r="D64" s="47" t="n">
        <x:v>78442</x:v>
      </x:c>
      <x:c r="E64" s="47" t="n">
        <x:v>18772</x:v>
      </x:c>
      <x:c r="F64" s="47" t="n">
        <x:v>1952</x:v>
      </x:c>
      <x:c r="G64" s="47" t="n">
        <x:v>4410</x:v>
      </x:c>
      <x:c r="H64" s="47" t="n">
        <x:v>2312</x:v>
      </x:c>
      <x:c r="I64" s="47" t="n">
        <x:v>1</x:v>
      </x:c>
      <x:c r="J64" s="47" t="n">
        <x:v>1</x:v>
      </x:c>
      <x:c r="K64" s="47" t="n">
        <x:v>428</x:v>
      </x:c>
      <x:c r="L64" s="47" t="n">
        <x:v>569</x:v>
      </x:c>
      <x:c r="M64" s="47" t="n">
        <x:v>4</x:v>
      </x:c>
      <x:c r="N64" s="47" t="n">
        <x:v>38</x:v>
      </x:c>
      <x:c r="O64" s="47" t="n">
        <x:v>75</x:v>
      </x:c>
      <x:c r="P64" s="47" t="n">
        <x:v>46</x:v>
      </x:c>
      <x:c r="Q64" s="47" t="n">
        <x:v>163</x:v>
      </x:c>
      <x:c r="R64" s="47" t="n">
        <x:v>4</x:v>
      </x:c>
      <x:c r="S64" s="47" t="n">
        <x:v>461</x:v>
      </x:c>
      <x:c r="T64" s="47" t="n">
        <x:v>28</x:v>
      </x:c>
      <x:c r="U64" s="47" t="n">
        <x:v>1716</x:v>
      </x:c>
      <x:c r="V64" s="47" t="n">
        <x:v>143</x:v>
      </x:c>
      <x:c r="W64" s="47" t="n">
        <x:v>6382</x:v>
      </x:c>
      <x:c r="X64" s="47" t="n">
        <x:v>3514</x:v>
      </x:c>
      <x:c r="Y64" s="47" t="n">
        <x:v>110</x:v>
      </x:c>
      <x:c r="Z64" s="47" t="n">
        <x:f>SUM(D64:Y64)</x:f>
        <x:v>119571</x:v>
      </x:c>
      <x:c r="AA64" t="str">
        <x:v>Source time period is not specified; not VAHAN monthly registrations</x:v>
      </x:c>
    </x:row>
    <x:row r="65">
      <x:c r="A65" t="str">
        <x:v>Chandra- pur</x:v>
      </x:c>
      <x:c r="B65" t="str">
        <x:v>Chandra- pur</x:v>
      </x:c>
      <x:c r="C65" t="str">
        <x:v>Office / local area</x:v>
      </x:c>
      <x:c r="D65" s="47" t="n">
        <x:v>245730</x:v>
      </x:c>
      <x:c r="E65" s="47" t="n">
        <x:v>81819</x:v>
      </x:c>
      <x:c r="F65" s="47" t="n">
        <x:v>57444</x:v>
      </x:c>
      <x:c r="G65" s="47" t="n">
        <x:v>26301</x:v>
      </x:c>
      <x:c r="H65" s="47" t="n">
        <x:v>7577</x:v>
      </x:c>
      <x:c r="I65" s="47" t="n">
        <x:v>58</x:v>
      </x:c>
      <x:c r="J65" s="47" t="n">
        <x:v>136</x:v>
      </x:c>
      <x:c r="K65" s="47" t="n">
        <x:v>989</x:v>
      </x:c>
      <x:c r="L65" s="47" t="n">
        <x:v>7643</x:v>
      </x:c>
      <x:c r="M65" s="47" t="n">
        <x:v>361</x:v>
      </x:c>
      <x:c r="N65" s="47" t="n">
        <x:v>251</x:v>
      </x:c>
      <x:c r="O65" s="47" t="n">
        <x:v>439</x:v>
      </x:c>
      <x:c r="P65" s="47" t="n">
        <x:v>117</x:v>
      </x:c>
      <x:c r="Q65" s="47" t="n">
        <x:v>374</x:v>
      </x:c>
      <x:c r="R65" s="47" t="n">
        <x:v>1288</x:v>
      </x:c>
      <x:c r="S65" s="47" t="n">
        <x:v>9354</x:v>
      </x:c>
      <x:c r="T65" s="47" t="n">
        <x:v>257</x:v>
      </x:c>
      <x:c r="U65" s="47" t="n">
        <x:v>7673</x:v>
      </x:c>
      <x:c r="V65" s="47" t="n">
        <x:v>2327</x:v>
      </x:c>
      <x:c r="W65" s="47" t="n">
        <x:v>12201</x:v>
      </x:c>
      <x:c r="X65" s="47" t="n">
        <x:v>6836</x:v>
      </x:c>
      <x:c r="Y65" s="47" t="n">
        <x:v>843</x:v>
      </x:c>
      <x:c r="Z65" s="47" t="n">
        <x:f>SUM(D65:Y65)</x:f>
        <x:v>470018</x:v>
      </x:c>
      <x:c r="AA65" t="str">
        <x:v>Source time period is not specified; not VAHAN monthly registrations</x:v>
      </x:c>
    </x:row>
    <x:row r="66">
      <x:c r="A66" t="str">
        <x:v>Gondia</x:v>
      </x:c>
      <x:c r="B66" t="str">
        <x:v>Gondia</x:v>
      </x:c>
      <x:c r="C66" t="str">
        <x:v>Office / local area</x:v>
      </x:c>
      <x:c r="D66" s="47" t="n">
        <x:v>151885</x:v>
      </x:c>
      <x:c r="E66" s="47" t="n">
        <x:v>28626</x:v>
      </x:c>
      <x:c r="F66" s="47" t="n">
        <x:v>19208</x:v>
      </x:c>
      <x:c r="G66" s="47" t="n">
        <x:v>9128</x:v>
      </x:c>
      <x:c r="H66" s="47" t="n">
        <x:v>4073</x:v>
      </x:c>
      <x:c r="I66" s="47" t="n">
        <x:v>0</x:v>
      </x:c>
      <x:c r="J66" s="47" t="n">
        <x:v>0</x:v>
      </x:c>
      <x:c r="K66" s="47" t="n">
        <x:v>343</x:v>
      </x:c>
      <x:c r="L66" s="47" t="n">
        <x:v>844</x:v>
      </x:c>
      <x:c r="M66" s="47" t="n">
        <x:v>7</x:v>
      </x:c>
      <x:c r="N66" s="47" t="n">
        <x:v>180</x:v>
      </x:c>
      <x:c r="O66" s="47" t="n">
        <x:v>286</x:v>
      </x:c>
      <x:c r="P66" s="47" t="n">
        <x:v>69</x:v>
      </x:c>
      <x:c r="Q66" s="47" t="n">
        <x:v>96</x:v>
      </x:c>
      <x:c r="R66" s="47" t="n">
        <x:v>4</x:v>
      </x:c>
      <x:c r="S66" s="47" t="n">
        <x:v>1828</x:v>
      </x:c>
      <x:c r="T66" s="47" t="n">
        <x:v>136</x:v>
      </x:c>
      <x:c r="U66" s="47" t="n">
        <x:v>2919</x:v>
      </x:c>
      <x:c r="V66" s="47" t="n">
        <x:v>423</x:v>
      </x:c>
      <x:c r="W66" s="47" t="n">
        <x:v>7621</x:v>
      </x:c>
      <x:c r="X66" s="47" t="n">
        <x:v>5013</x:v>
      </x:c>
      <x:c r="Y66" s="47" t="n">
        <x:v>219</x:v>
      </x:c>
      <x:c r="Z66" s="47" t="n">
        <x:f>SUM(D66:Y66)</x:f>
        <x:v>232908</x:v>
      </x:c>
      <x:c r="AA66" t="str">
        <x:v>Source time period is not specified; not VAHAN monthly registrations</x:v>
      </x:c>
    </x:row>
    <x:row r="67">
      <x:c r="A67" t="str">
        <x:v>Bhandara</x:v>
      </x:c>
      <x:c r="B67" t="str">
        <x:v>Bhandara</x:v>
      </x:c>
      <x:c r="C67" t="str">
        <x:v>Office / local area</x:v>
      </x:c>
      <x:c r="D67" s="47" t="n">
        <x:v>123311</x:v>
      </x:c>
      <x:c r="E67" s="47" t="n">
        <x:v>36705</x:v>
      </x:c>
      <x:c r="F67" s="47" t="n">
        <x:v>20673</x:v>
      </x:c>
      <x:c r="G67" s="47" t="n">
        <x:v>10396</x:v>
      </x:c>
      <x:c r="H67" s="47" t="n">
        <x:v>2924</x:v>
      </x:c>
      <x:c r="I67" s="47" t="n">
        <x:v>10</x:v>
      </x:c>
      <x:c r="J67" s="47" t="n">
        <x:v>0</x:v>
      </x:c>
      <x:c r="K67" s="47" t="n">
        <x:v>238</x:v>
      </x:c>
      <x:c r="L67" s="47" t="n">
        <x:v>1266</x:v>
      </x:c>
      <x:c r="M67" s="47" t="n">
        <x:v>252</x:v>
      </x:c>
      <x:c r="N67" s="47" t="n">
        <x:v>75</x:v>
      </x:c>
      <x:c r="O67" s="47" t="n">
        <x:v>211</x:v>
      </x:c>
      <x:c r="P67" s="47" t="n">
        <x:v>52</x:v>
      </x:c>
      <x:c r="Q67" s="47" t="n">
        <x:v>96</x:v>
      </x:c>
      <x:c r="R67" s="47" t="n">
        <x:v>205</x:v>
      </x:c>
      <x:c r="S67" s="47" t="n">
        <x:v>1263</x:v>
      </x:c>
      <x:c r="T67" s="47" t="n">
        <x:v>72</x:v>
      </x:c>
      <x:c r="U67" s="47" t="n">
        <x:v>2161</x:v>
      </x:c>
      <x:c r="V67" s="47" t="n">
        <x:v>595</x:v>
      </x:c>
      <x:c r="W67" s="47" t="n">
        <x:v>10203</x:v>
      </x:c>
      <x:c r="X67" s="47" t="n">
        <x:v>5729</x:v>
      </x:c>
      <x:c r="Y67" s="47" t="n">
        <x:v>137</x:v>
      </x:c>
      <x:c r="Z67" s="47" t="n">
        <x:f>SUM(D67:Y67)</x:f>
        <x:v>216574</x:v>
      </x:c>
      <x:c r="AA67" t="str">
        <x:v>Source time period is not specified; not VAHAN monthly registrations</x:v>
      </x:c>
    </x:row>
    <x:row r="68">
      <x:c r="A68" t="str">
        <x:v>Nag.(R) Region</x:v>
      </x:c>
      <x:c r="B68" t="str">
        <x:v>Nag.(R) Region</x:v>
      </x:c>
      <x:c r="C68" t="str">
        <x:v>Region subtotal</x:v>
      </x:c>
      <x:c r="D68" s="47" t="n">
        <x:v>850946</x:v>
      </x:c>
      <x:c r="E68" s="47" t="n">
        <x:v>238823</x:v>
      </x:c>
      <x:c r="F68" s="47" t="n">
        <x:v>128881</x:v>
      </x:c>
      <x:c r="G68" s="47" t="n">
        <x:v>74762</x:v>
      </x:c>
      <x:c r="H68" s="47" t="n">
        <x:v>29846</x:v>
      </x:c>
      <x:c r="I68" s="47" t="n">
        <x:v>102</x:v>
      </x:c>
      <x:c r="J68" s="47" t="n">
        <x:v>137</x:v>
      </x:c>
      <x:c r="K68" s="47" t="n">
        <x:v>3570</x:v>
      </x:c>
      <x:c r="L68" s="47" t="n">
        <x:v>15342</x:v>
      </x:c>
      <x:c r="M68" s="47" t="n">
        <x:v>3505</x:v>
      </x:c>
      <x:c r="N68" s="47" t="n">
        <x:v>1038</x:v>
      </x:c>
      <x:c r="O68" s="47" t="n">
        <x:v>2284</x:v>
      </x:c>
      <x:c r="P68" s="47" t="n">
        <x:v>607</x:v>
      </x:c>
      <x:c r="Q68" s="47" t="n">
        <x:v>946</x:v>
      </x:c>
      <x:c r="R68" s="47" t="n">
        <x:v>2675</x:v>
      </x:c>
      <x:c r="S68" s="47" t="n">
        <x:v>23447</x:v>
      </x:c>
      <x:c r="T68" s="47" t="n">
        <x:v>650</x:v>
      </x:c>
      <x:c r="U68" s="47" t="n">
        <x:v>25397</x:v>
      </x:c>
      <x:c r="V68" s="47" t="n">
        <x:v>5599</x:v>
      </x:c>
      <x:c r="W68" s="47" t="n">
        <x:v>47922</x:v>
      </x:c>
      <x:c r="X68" s="47" t="n">
        <x:v>24587</x:v>
      </x:c>
      <x:c r="Y68" s="47" t="n">
        <x:v>2494</x:v>
      </x:c>
      <x:c r="Z68" s="47" t="n">
        <x:f>SUM(D68:Y68)</x:f>
        <x:v>1483560</x:v>
      </x:c>
      <x:c r="AA68" t="str">
        <x:v>Reported grouping is a subtotal; do not add to office records</x:v>
      </x:c>
    </x:row>
  </x:sheetData>
  <x:mergeCells>
    <x:mergeCell ref="A1:AA1"/>
    <x:mergeCell ref="A2:AA2"/>
    <x:mergeCell ref="A3:AA3"/>
  </x:mergeCells>
  <x:pageMargins left="0.7" right="0.7" top="0.75" bottom="0.75" header="0.3" footer="0.3"/>
  <x:tableParts count="1">
    <x:tablePart xmlns:r="http://schemas.openxmlformats.org/officeDocument/2006/relationships" r:id="Rccf7d19c79ea46f4"/>
  </x:tableParts>
</x:worksheet>
</file>

<file path=xl/worksheets/sheet6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1" ht="36" customHeight="1">
      <x:c r="A1" s="32" t="str">
        <x:v>Maharashtra airport traffic | FY 2022–24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25" customHeight="1">
      <x:c r="A2" s="34" t="str">
        <x:v>Source file: ujln.csv    |    User-supplied upload    |    Cleaned numeric fields; source labels preserved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 ht="26" customHeight="1">
      <x:c r="A3" s="46" t="str">
        <x:v>Domestic/international section totals and airport rows must not be summed together; 'Neg' is missing, not zero.</x:v>
      </x:c>
      <x:c r="B3" s="46"/>
      <x:c r="C3" s="46"/>
      <x:c r="D3" s="46"/>
      <x:c r="E3" s="46"/>
      <x:c r="F3" s="46"/>
      <x:c r="G3" s="46"/>
      <x:c r="H3" s="46"/>
      <x:c r="I3" s="46"/>
      <x:c r="J3" s="46"/>
    </x:row>
    <x:row r="5" ht="32" customHeight="1">
      <x:c r="A5" s="41" t="str">
        <x:v>Airport / grouping</x:v>
      </x:c>
      <x:c r="B5" s="41" t="str">
        <x:v>Traffic type</x:v>
      </x:c>
      <x:c r="C5" s="41" t="str">
        <x:v>Row type</x:v>
      </x:c>
      <x:c r="D5" s="41" t="str">
        <x:v>Aircraft movement handled (no.) 2022-23</x:v>
      </x:c>
      <x:c r="E5" s="41" t="str">
        <x:v>Aircraft movement handled (no.) 2023-24</x:v>
      </x:c>
      <x:c r="F5" s="41" t="str">
        <x:v>Passenger Traffic 2022-23 (Lakhs)</x:v>
      </x:c>
      <x:c r="G5" s="41" t="str">
        <x:v>Passenger Traffic 2023-24 (Lakhs)</x:v>
      </x:c>
      <x:c r="H5" s="41" t="str">
        <x:v>Cargo (MT) 2022-23</x:v>
      </x:c>
      <x:c r="I5" s="41" t="str">
        <x:v>Cargo (MT) (2023-24)</x:v>
      </x:c>
      <x:c r="J5" s="41" t="str">
        <x:v>Notes</x:v>
      </x:c>
    </x:row>
    <x:row r="6">
      <x:c r="A6" t="str">
        <x:v>A) Domestic</x:v>
      </x:c>
      <x:c r="B6" t="str">
        <x:v>Domestic</x:v>
      </x:c>
      <x:c r="C6" t="str">
        <x:v>Section total</x:v>
      </x:c>
      <x:c r="D6" t="n">
        <x:v>335651</x:v>
      </x:c>
      <x:c r="E6" t="n">
        <x:v>368815</x:v>
      </x:c>
      <x:c r="F6" t="n">
        <x:v>446.98</x:v>
      </x:c>
      <x:c r="G6" t="n">
        <x:v>524.7</x:v>
      </x:c>
      <x:c r="H6" t="n">
        <x:v>287176</x:v>
      </x:c>
      <x:c r="I6" t="n">
        <x:v>278690</x:v>
      </x:c>
      <x:c r="J6" t="str">
        <x:v>Subtotal/total; exclude when summing airport rows</x:v>
      </x:c>
    </x:row>
    <x:row r="7">
      <x:c r="A7" t="str">
        <x:v>Mumbai</x:v>
      </x:c>
      <x:c r="B7" t="str">
        <x:v>Domestic</x:v>
      </x:c>
      <x:c r="C7" t="str">
        <x:v>Airport</x:v>
      </x:c>
      <x:c r="D7" t="n">
        <x:v>222608</x:v>
      </x:c>
      <x:c r="E7" t="n">
        <x:v>241813</x:v>
      </x:c>
      <x:c r="F7" t="n">
        <x:v>327.23</x:v>
      </x:c>
      <x:c r="G7" t="n">
        <x:v>385.02</x:v>
      </x:c>
      <x:c r="H7" t="n">
        <x:v>236797</x:v>
      </x:c>
      <x:c r="I7" t="n">
        <x:v>231616</x:v>
      </x:c>
      <x:c r="J7" t="str"/>
    </x:row>
    <x:row r="8">
      <x:c r="A8" t="str">
        <x:v>Pune</x:v>
      </x:c>
      <x:c r="B8" t="str">
        <x:v>Domestic</x:v>
      </x:c>
      <x:c r="C8" t="str">
        <x:v>Airport</x:v>
      </x:c>
      <x:c r="D8" t="n">
        <x:v>58261</x:v>
      </x:c>
      <x:c r="E8" t="n">
        <x:v>62616</x:v>
      </x:c>
      <x:c r="F8" t="n">
        <x:v>78.66</x:v>
      </x:c>
      <x:c r="G8" t="n">
        <x:v>93.56</x:v>
      </x:c>
      <x:c r="H8" t="n">
        <x:v>39314</x:v>
      </x:c>
      <x:c r="I8" t="n">
        <x:v>37833</x:v>
      </x:c>
      <x:c r="J8" t="str"/>
    </x:row>
    <x:row r="9">
      <x:c r="A9" t="str">
        <x:v>Juhu (Mumbai)</x:v>
      </x:c>
      <x:c r="B9" t="str">
        <x:v>Domestic</x:v>
      </x:c>
      <x:c r="C9" t="str">
        <x:v>Airport</x:v>
      </x:c>
      <x:c r="D9" t="n">
        <x:v>18762</x:v>
      </x:c>
      <x:c r="E9" t="n">
        <x:v>23292</x:v>
      </x:c>
      <x:c r="F9" t="n">
        <x:v>1.32</x:v>
      </x:c>
      <x:c r="G9" t="n">
        <x:v>1.53</x:v>
      </x:c>
      <x:c r="H9" t="n">
        <x:v>299</x:v>
      </x:c>
      <x:c r="I9" t="n">
        <x:v>310</x:v>
      </x:c>
      <x:c r="J9" t="str"/>
    </x:row>
    <x:row r="10">
      <x:c r="A10" t="str">
        <x:v>Nagpur</x:v>
      </x:c>
      <x:c r="B10" t="str">
        <x:v>Domestic</x:v>
      </x:c>
      <x:c r="C10" t="str">
        <x:v>Airport</x:v>
      </x:c>
      <x:c r="D10" t="n">
        <x:v>19603</x:v>
      </x:c>
      <x:c r="E10" t="n">
        <x:v>20816</x:v>
      </x:c>
      <x:c r="F10" t="n">
        <x:v>25</x:v>
      </x:c>
      <x:c r="G10" t="n">
        <x:v>26.84</x:v>
      </x:c>
      <x:c r="H10" t="n">
        <x:v>8984</x:v>
      </x:c>
      <x:c r="I10" t="n">
        <x:v>7913</x:v>
      </x:c>
      <x:c r="J10" t="str"/>
    </x:row>
    <x:row r="11">
      <x:c r="A11" t="str">
        <x:v>Shirdi</x:v>
      </x:c>
      <x:c r="B11" t="str">
        <x:v>Domestic</x:v>
      </x:c>
      <x:c r="C11" t="str">
        <x:v>Airport</x:v>
      </x:c>
      <x:c r="D11" t="n">
        <x:v>5635</x:v>
      </x:c>
      <x:c r="E11" t="n">
        <x:v>6015</x:v>
      </x:c>
      <x:c r="F11" t="n">
        <x:v>7.33</x:v>
      </x:c>
      <x:c r="G11" t="n">
        <x:v>7.25</x:v>
      </x:c>
      <x:c r="H11" t="n">
        <x:v>643</x:v>
      </x:c>
      <x:c r="I11" t="n">
        <x:v>244</x:v>
      </x:c>
      <x:c r="J11" t="str"/>
    </x:row>
    <x:row r="12">
      <x:c r="A12" t="str">
        <x:v>Chhatrapati Sambhajinagar</x:v>
      </x:c>
      <x:c r="B12" t="str">
        <x:v>Domestic</x:v>
      </x:c>
      <x:c r="C12" t="str">
        <x:v>Airport</x:v>
      </x:c>
      <x:c r="D12" t="n">
        <x:v>4625</x:v>
      </x:c>
      <x:c r="E12" t="n">
        <x:v>5756</x:v>
      </x:c>
      <x:c r="F12" t="n">
        <x:v>4.68</x:v>
      </x:c>
      <x:c r="G12" t="n">
        <x:v>6.2</x:v>
      </x:c>
      <x:c r="H12" t="n">
        <x:v>1138</x:v>
      </x:c>
      <x:c r="I12" t="n">
        <x:v>725</x:v>
      </x:c>
      <x:c r="J12" t="str"/>
    </x:row>
    <x:row r="13">
      <x:c r="A13" t="str">
        <x:v>Nashik (Ojhar HAL)</x:v>
      </x:c>
      <x:c r="B13" t="str">
        <x:v>Domestic</x:v>
      </x:c>
      <x:c r="C13" t="str">
        <x:v>Airport</x:v>
      </x:c>
      <x:c r="D13" t="n">
        <x:v>1957</x:v>
      </x:c>
      <x:c r="E13" t="n">
        <x:v>4226</x:v>
      </x:c>
      <x:c r="F13" t="n">
        <x:v>1</x:v>
      </x:c>
      <x:c r="G13" t="n">
        <x:v>2</x:v>
      </x:c>
      <x:c r="H13" t="n">
        <x:v>0</x:v>
      </x:c>
      <x:c r="I13" t="n">
        <x:v>48</x:v>
      </x:c>
      <x:c r="J13" t="str"/>
    </x:row>
    <x:row r="14">
      <x:c r="A14" t="str">
        <x:v>Kolhapur</x:v>
      </x:c>
      <x:c r="B14" t="str">
        <x:v>Domestic</x:v>
      </x:c>
      <x:c r="C14" t="str">
        <x:v>Airport</x:v>
      </x:c>
      <x:c r="D14" t="n">
        <x:v>2730</x:v>
      </x:c>
      <x:c r="E14" t="n">
        <x:v>3174</x:v>
      </x:c>
      <x:c r="F14" t="n">
        <x:v>1.29</x:v>
      </x:c>
      <x:c r="G14" t="n">
        <x:v>1.6</x:v>
      </x:c>
      <x:c r="H14" t="n">
        <x:v>0</x:v>
      </x:c>
      <x:c r="I14" t="n">
        <x:v>0</x:v>
      </x:c>
      <x:c r="J14" t="str"/>
    </x:row>
    <x:row r="15">
      <x:c r="A15" t="str">
        <x:v>Sindhudurg</x:v>
      </x:c>
      <x:c r="B15" t="str">
        <x:v>Domestic</x:v>
      </x:c>
      <x:c r="C15" t="str">
        <x:v>Airport</x:v>
      </x:c>
      <x:c r="D15" t="n">
        <x:v>610</x:v>
      </x:c>
      <x:c r="E15" t="n">
        <x:v>397</x:v>
      </x:c>
      <x:c r="F15" t="n">
        <x:v>0.28</x:v>
      </x:c>
      <x:c r="G15" t="n">
        <x:v>0.18</x:v>
      </x:c>
      <x:c r="H15" t="n">
        <x:v>0</x:v>
      </x:c>
      <x:c r="I15" t="n">
        <x:v>0</x:v>
      </x:c>
      <x:c r="J15" t="str"/>
    </x:row>
    <x:row r="16">
      <x:c r="A16" t="str">
        <x:v>Gondia</x:v>
      </x:c>
      <x:c r="B16" t="str">
        <x:v>Domestic</x:v>
      </x:c>
      <x:c r="C16" t="str">
        <x:v>Airport</x:v>
      </x:c>
      <x:c r="D16" t="n">
        <x:v>554</x:v>
      </x:c>
      <x:c r="E16" t="n">
        <x:v>287</x:v>
      </x:c>
      <x:c r="F16" t="n">
        <x:v>0.11</x:v>
      </x:c>
      <x:c r="G16" t="n">
        <x:v>0.08</x:v>
      </x:c>
      <x:c r="H16" t="n">
        <x:v>0</x:v>
      </x:c>
      <x:c r="I16" t="n">
        <x:v>0</x:v>
      </x:c>
      <x:c r="J16" t="str"/>
    </x:row>
    <x:row r="17">
      <x:c r="A17" t="str">
        <x:v>Nanded</x:v>
      </x:c>
      <x:c r="B17" t="str">
        <x:v>Domestic</x:v>
      </x:c>
      <x:c r="C17" t="str">
        <x:v>Airport</x:v>
      </x:c>
      <x:c r="D17" t="n">
        <x:v>122</x:v>
      </x:c>
      <x:c r="E17" t="n">
        <x:v>191</x:v>
      </x:c>
      <x:c r="F17"/>
      <x:c r="G17" t="n">
        <x:v>0.01</x:v>
      </x:c>
      <x:c r="H17" t="n">
        <x:v>0</x:v>
      </x:c>
      <x:c r="I17" t="n">
        <x:v>0</x:v>
      </x:c>
      <x:c r="J17" t="str">
        <x:v>Neg means negligible; treated as missing, not zero</x:v>
      </x:c>
    </x:row>
    <x:row r="18">
      <x:c r="A18" t="str">
        <x:v>Solapur</x:v>
      </x:c>
      <x:c r="B18" t="str">
        <x:v>Domestic</x:v>
      </x:c>
      <x:c r="C18" t="str">
        <x:v>Airport</x:v>
      </x:c>
      <x:c r="D18" t="n">
        <x:v>80</x:v>
      </x:c>
      <x:c r="E18" t="n">
        <x:v>120</x:v>
      </x:c>
      <x:c r="F18"/>
      <x:c r="G18"/>
      <x:c r="H18" t="n">
        <x:v>0</x:v>
      </x:c>
      <x:c r="I18" t="n">
        <x:v>0</x:v>
      </x:c>
      <x:c r="J18" t="str">
        <x:v>Neg means negligible; treated as missing, not zero</x:v>
      </x:c>
    </x:row>
    <x:row r="19">
      <x:c r="A19" t="str">
        <x:v>Jalgaon</x:v>
      </x:c>
      <x:c r="B19" t="str">
        <x:v>Domestic</x:v>
      </x:c>
      <x:c r="C19" t="str">
        <x:v>Airport</x:v>
      </x:c>
      <x:c r="D19" t="n">
        <x:v>104</x:v>
      </x:c>
      <x:c r="E19" t="n">
        <x:v>112</x:v>
      </x:c>
      <x:c r="F19"/>
      <x:c r="G19" t="n">
        <x:v>0.01</x:v>
      </x:c>
      <x:c r="H19" t="n">
        <x:v>0</x:v>
      </x:c>
      <x:c r="I19" t="n">
        <x:v>0</x:v>
      </x:c>
      <x:c r="J19" t="str">
        <x:v>Neg means negligible; treated as missing, not zero</x:v>
      </x:c>
    </x:row>
    <x:row r="20">
      <x:c r="A20" t="str">
        <x:v>B) International</x:v>
      </x:c>
      <x:c r="B20" t="str">
        <x:v>International</x:v>
      </x:c>
      <x:c r="C20" t="str">
        <x:v>Section total</x:v>
      </x:c>
      <x:c r="D20" t="n">
        <x:v>69806</x:v>
      </x:c>
      <x:c r="E20" t="n">
        <x:v>85881</x:v>
      </x:c>
      <x:c r="F20" t="n">
        <x:v>114.13</x:v>
      </x:c>
      <x:c r="G20" t="n">
        <x:v>146.03</x:v>
      </x:c>
      <x:c r="H20" t="n">
        <x:v>540397</x:v>
      </x:c>
      <x:c r="I20" t="n">
        <x:v>591864</x:v>
      </x:c>
      <x:c r="J20" t="str">
        <x:v>Subtotal/total; exclude when summing airport rows</x:v>
      </x:c>
    </x:row>
    <x:row r="21">
      <x:c r="A21" t="str">
        <x:v>Mumbai</x:v>
      </x:c>
      <x:c r="B21" t="str">
        <x:v>International</x:v>
      </x:c>
      <x:c r="C21" t="str">
        <x:v>Airport</x:v>
      </x:c>
      <x:c r="D21" t="n">
        <x:v>67779</x:v>
      </x:c>
      <x:c r="E21" t="n">
        <x:v>83173</x:v>
      </x:c>
      <x:c r="F21" t="n">
        <x:v>112.07</x:v>
      </x:c>
      <x:c r="G21" t="n">
        <x:v>143.19</x:v>
      </x:c>
      <x:c r="H21" t="n">
        <x:v>540137</x:v>
      </x:c>
      <x:c r="I21" t="n">
        <x:v>591361</x:v>
      </x:c>
      <x:c r="J21" t="str"/>
    </x:row>
    <x:row r="22">
      <x:c r="A22" t="str">
        <x:v>Pune</x:v>
      </x:c>
      <x:c r="B22" t="str">
        <x:v>International</x:v>
      </x:c>
      <x:c r="C22" t="str">
        <x:v>Airport</x:v>
      </x:c>
      <x:c r="D22" t="n">
        <x:v>1190</x:v>
      </x:c>
      <x:c r="E22" t="n">
        <x:v>1423</x:v>
      </x:c>
      <x:c r="F22" t="n">
        <x:v>1.41</x:v>
      </x:c>
      <x:c r="G22" t="n">
        <x:v>1.7</x:v>
      </x:c>
      <x:c r="H22" t="n">
        <x:v>55</x:v>
      </x:c>
      <x:c r="I22" t="n">
        <x:v>8</x:v>
      </x:c>
      <x:c r="J22" t="str"/>
    </x:row>
    <x:row r="23">
      <x:c r="A23" t="str">
        <x:v>Nagpur</x:v>
      </x:c>
      <x:c r="B23" t="str">
        <x:v>International</x:v>
      </x:c>
      <x:c r="C23" t="str">
        <x:v>Airport</x:v>
      </x:c>
      <x:c r="D23" t="n">
        <x:v>837</x:v>
      </x:c>
      <x:c r="E23" t="n">
        <x:v>1186</x:v>
      </x:c>
      <x:c r="F23" t="n">
        <x:v>0.65</x:v>
      </x:c>
      <x:c r="G23" t="n">
        <x:v>1.11</x:v>
      </x:c>
      <x:c r="H23" t="n">
        <x:v>205</x:v>
      </x:c>
      <x:c r="I23" t="n">
        <x:v>80</x:v>
      </x:c>
      <x:c r="J23" t="str"/>
    </x:row>
    <x:row r="24">
      <x:c r="A24" t="str">
        <x:v>Nashik (OjharHAL)</x:v>
      </x:c>
      <x:c r="B24" t="str">
        <x:v>International</x:v>
      </x:c>
      <x:c r="C24" t="str">
        <x:v>Airport</x:v>
      </x:c>
      <x:c r="D24"/>
      <x:c r="E24" t="n">
        <x:v>54</x:v>
      </x:c>
      <x:c r="F24" t="n">
        <x:v>0</x:v>
      </x:c>
      <x:c r="G24"/>
      <x:c r="H24" t="n">
        <x:v>0</x:v>
      </x:c>
      <x:c r="I24" t="n">
        <x:v>415</x:v>
      </x:c>
      <x:c r="J24" t="str">
        <x:v>Neg means negligible; treated as missing, not zero</x:v>
      </x:c>
    </x:row>
    <x:row r="25">
      <x:c r="A25" t="str">
        <x:v>Chhatrapati Sambhajinagar</x:v>
      </x:c>
      <x:c r="B25" t="str">
        <x:v>International</x:v>
      </x:c>
      <x:c r="C25" t="str">
        <x:v>Airport</x:v>
      </x:c>
      <x:c r="D25"/>
      <x:c r="E25" t="n">
        <x:v>43</x:v>
      </x:c>
      <x:c r="F25" t="n">
        <x:v>0</x:v>
      </x:c>
      <x:c r="G25" t="n">
        <x:v>0.04</x:v>
      </x:c>
      <x:c r="H25" t="n">
        <x:v>0</x:v>
      </x:c>
      <x:c r="I25" t="n">
        <x:v>0</x:v>
      </x:c>
      <x:c r="J25" t="str"/>
    </x:row>
    <x:row r="26">
      <x:c r="A26" t="str">
        <x:v>Shirdi</x:v>
      </x:c>
      <x:c r="B26" t="str">
        <x:v>International</x:v>
      </x:c>
      <x:c r="C26" t="str">
        <x:v>Airport</x:v>
      </x:c>
      <x:c r="D26"/>
      <x:c r="E26" t="n">
        <x:v>2</x:v>
      </x:c>
      <x:c r="F26"/>
      <x:c r="G26"/>
      <x:c r="H26"/>
      <x:c r="I26" t="n">
        <x:v>0</x:v>
      </x:c>
      <x:c r="J26" t="str">
        <x:v>Neg means negligible; treated as missing, not zero</x:v>
      </x:c>
    </x:row>
    <x:row r="27">
      <x:c r="A27" t="str">
        <x:v>Total (A+B)</x:v>
      </x:c>
      <x:c r="B27" t="str">
        <x:v>Domestic + International</x:v>
      </x:c>
      <x:c r="C27" t="str">
        <x:v>Grand total</x:v>
      </x:c>
      <x:c r="D27" t="n">
        <x:v>405457</x:v>
      </x:c>
      <x:c r="E27" t="n">
        <x:v>454696</x:v>
      </x:c>
      <x:c r="F27" t="n">
        <x:v>561.11</x:v>
      </x:c>
      <x:c r="G27" t="n">
        <x:v>670.73</x:v>
      </x:c>
      <x:c r="H27" t="n">
        <x:v>827573</x:v>
      </x:c>
      <x:c r="I27" t="n">
        <x:v>870554</x:v>
      </x:c>
      <x:c r="J27" t="str">
        <x:v>Subtotal/total; exclude when summing airport rows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490634ea36ed48b3"/>
  </x:tableParts>
</x:worksheet>
</file>

<file path=xl/worksheets/sheet6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48" hidden="0" customWidth="1"/>
  </x:cols>
  <x:sheetData>
    <x:row r="1" ht="36" customHeight="1">
      <x:c r="A1" s="32" t="str">
        <x:v>Maharashtra district development indicators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</x:row>
    <x:row r="2" ht="25" customHeight="1">
      <x:c r="A2" s="34" t="str">
        <x:v>Source file: jv.csv    |    User-supplied upload    |    Cleaned numeric fields; source labels preserved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</x:row>
    <x:row r="3" ht="26" customHeight="1">
      <x:c r="A3" s="46" t="str">
        <x:v>Mixed indicators and likely mixed dates. Original ^ footnote values are numeric with annotation retained in Notes.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</x:row>
    <x:row r="5" ht="32" customHeight="1">
      <x:c r="A5" s="41" t="str">
        <x:v>District (source)</x:v>
      </x:c>
      <x:c r="B5" s="41" t="str">
        <x:v>District (standard)</x:v>
      </x:c>
      <x:c r="C5" s="41" t="str">
        <x:v>Row type</x:v>
      </x:c>
      <x:c r="D5" s="41" t="str">
        <x:v>Density of schools (per 10 sq km)</x:v>
      </x:c>
      <x:c r="E5" s="41" t="str">
        <x:v>Dropout Rate (Secondary IX-X)</x:v>
      </x:c>
      <x:c r="F5" s="41" t="str">
        <x:v>Dropout Rate (Higher Secondary XI-XII)</x:v>
      </x:c>
      <x:c r="G5" s="41" t="str">
        <x:v>PTR Elementary (I-VII)</x:v>
      </x:c>
      <x:c r="H5" s="41" t="str">
        <x:v>PTR Secondary (IX-X)</x:v>
      </x:c>
      <x:c r="I5" s="41" t="str">
        <x:v>PTR Higher Secondary (XI-XII)</x:v>
      </x:c>
      <x:c r="J5" s="41" t="str">
        <x:v>Percentage of forest area to total geographical area</x:v>
      </x:c>
      <x:c r="K5" s="41" t="str">
        <x:v>Per capita domestic consumption electricity (kwh)</x:v>
      </x:c>
      <x:c r="L5" s="41" t="str">
        <x:v>Per capita industrial consumption of electricity (kwh)</x:v>
      </x:c>
      <x:c r="M5" s="41" t="str">
        <x:v>Number of establishments per lakh population (economic census 2013)</x:v>
      </x:c>
      <x:c r="N5" s="41" t="str">
        <x:v>Per Capita Income at current prices</x:v>
      </x:c>
      <x:c r="O5" s="41" t="str">
        <x:v>Number of banking offices per lakh pop</x:v>
      </x:c>
      <x:c r="P5" s="41" t="str">
        <x:v>Credit-Deposit Ratio</x:v>
      </x:c>
      <x:c r="Q5" s="41" t="str">
        <x:v>ATMS per lakh pop</x:v>
      </x:c>
      <x:c r="R5" s="41" t="str">
        <x:v>Vehicles per lakh pop</x:v>
      </x:c>
      <x:c r="S5" s="41" t="str">
        <x:v>Percentage of severly underweight children (age 0-5)</x:v>
      </x:c>
      <x:c r="T5" s="41" t="str">
        <x:v>Percentage of moderately underweight children (0-5 years)</x:v>
      </x:c>
      <x:c r="U5" s="41" t="str">
        <x:v>Notes</x:v>
      </x:c>
    </x:row>
    <x:row r="6">
      <x:c r="A6" t="str">
        <x:v>Mumbai City</x:v>
      </x:c>
      <x:c r="B6" t="str">
        <x:v>Mumbai City</x:v>
      </x:c>
      <x:c r="C6" t="str">
        <x:v>District</x:v>
      </x:c>
      <x:c r="D6" t="n">
        <x:v>110</x:v>
      </x:c>
      <x:c r="E6" t="n">
        <x:v>9.7</x:v>
      </x:c>
      <x:c r="F6" t="n">
        <x:v>5.4</x:v>
      </x:c>
      <x:c r="G6" t="n">
        <x:v>71</x:v>
      </x:c>
      <x:c r="H6" t="n">
        <x:v>14</x:v>
      </x:c>
      <x:c r="I6" t="n">
        <x:v>17</x:v>
      </x:c>
      <x:c r="J6" t="n">
        <x:v>1.9</x:v>
      </x:c>
      <x:c r="K6" t="n">
        <x:v>614</x:v>
      </x:c>
      <x:c r="L6" t="n">
        <x:v>103.9</x:v>
      </x:c>
      <x:c r="M6" t="n">
        <x:v>8083</x:v>
      </x:c>
      <x:c r="N6" t="n">
        <x:v>455767</x:v>
      </x:c>
      <x:c r="O6" t="n">
        <x:v>27.3</x:v>
      </x:c>
      <x:c r="P6" t="n">
        <x:v>95.8</x:v>
      </x:c>
      <x:c r="Q6" t="n">
        <x:v>76.8</x:v>
      </x:c>
      <x:c r="R6" t="n">
        <x:v>36780</x:v>
      </x:c>
      <x:c r="S6" t="n">
        <x:v>0.6</x:v>
      </x:c>
      <x:c r="T6" t="n">
        <x:v>7.2</x:v>
      </x:c>
      <x:c r="U6" t="str">
        <x:v>^ markers retained as footnote in original; numeric part extracted</x:v>
      </x:c>
    </x:row>
    <x:row r="7">
      <x:c r="A7" t="str">
        <x:v>Mumbai Suburban</x:v>
      </x:c>
      <x:c r="B7" t="str">
        <x:v>Mumbai Suburban</x:v>
      </x:c>
      <x:c r="C7" t="str">
        <x:v>District</x:v>
      </x:c>
      <x:c r="D7" t="n">
        <x:v>53</x:v>
      </x:c>
      <x:c r="E7" t="n">
        <x:v>9.7</x:v>
      </x:c>
      <x:c r="F7" t="n">
        <x:v>5.4</x:v>
      </x:c>
      <x:c r="G7"/>
      <x:c r="H7"/>
      <x:c r="I7"/>
      <x:c r="J7" t="n">
        <x:v>49.6</x:v>
      </x:c>
      <x:c r="K7" t="n">
        <x:v>659.9</x:v>
      </x:c>
      <x:c r="L7" t="n">
        <x:v>299.8</x:v>
      </x:c>
      <x:c r="M7" t="n">
        <x:v>4748</x:v>
      </x:c>
      <x:c r="N7"/>
      <x:c r="O7" t="n">
        <x:v>12.7</x:v>
      </x:c>
      <x:c r="P7" t="n">
        <x:v>141.7</x:v>
      </x:c>
      <x:c r="Q7" t="n">
        <x:v>23.9</x:v>
      </x:c>
      <x:c r="R7" t="n">
        <x:v>30051</x:v>
      </x:c>
      <x:c r="S7" t="n">
        <x:v>0.5</x:v>
      </x:c>
      <x:c r="T7" t="n">
        <x:v>7.5</x:v>
      </x:c>
      <x:c r="U7" t="str"/>
    </x:row>
    <x:row r="8">
      <x:c r="A8" t="str">
        <x:v>Thane</x:v>
      </x:c>
      <x:c r="B8" t="str">
        <x:v>Thane</x:v>
      </x:c>
      <x:c r="C8" t="str">
        <x:v>District</x:v>
      </x:c>
      <x:c r="D8" t="n">
        <x:v>11</x:v>
      </x:c>
      <x:c r="E8" t="n">
        <x:v>7.5</x:v>
      </x:c>
      <x:c r="F8" t="n">
        <x:v>4.3</x:v>
      </x:c>
      <x:c r="G8" t="n">
        <x:v>50</x:v>
      </x:c>
      <x:c r="H8" t="n">
        <x:v>23</x:v>
      </x:c>
      <x:c r="I8" t="n">
        <x:v>13</x:v>
      </x:c>
      <x:c r="J8" t="n">
        <x:v>37.9</x:v>
      </x:c>
      <x:c r="K8" t="n">
        <x:v>482</x:v>
      </x:c>
      <x:c r="L8" t="n">
        <x:v>749.2</x:v>
      </x:c>
      <x:c r="M8"/>
      <x:c r="N8" t="n">
        <x:v>390726</x:v>
      </x:c>
      <x:c r="O8" t="n">
        <x:v>12.1</x:v>
      </x:c>
      <x:c r="P8" t="n">
        <x:v>59.1</x:v>
      </x:c>
      <x:c r="Q8" t="n">
        <x:v>32.8</x:v>
      </x:c>
      <x:c r="R8" t="n">
        <x:v>47716</x:v>
      </x:c>
      <x:c r="S8" t="n">
        <x:v>1</x:v>
      </x:c>
      <x:c r="T8" t="n">
        <x:v>9.5</x:v>
      </x:c>
      <x:c r="U8" t="str">
        <x:v>Includes Palghar: left as missing rather than assigning a district value</x:v>
      </x:c>
    </x:row>
    <x:row r="9">
      <x:c r="A9" t="str">
        <x:v>Palghar</x:v>
      </x:c>
      <x:c r="B9" t="str">
        <x:v>Palghar</x:v>
      </x:c>
      <x:c r="C9" t="str">
        <x:v>District</x:v>
      </x:c>
      <x:c r="D9" t="n">
        <x:v>6</x:v>
      </x:c>
      <x:c r="E9" t="n">
        <x:v>11.7</x:v>
      </x:c>
      <x:c r="F9" t="n">
        <x:v>6.5</x:v>
      </x:c>
      <x:c r="G9" t="n">
        <x:v>51</x:v>
      </x:c>
      <x:c r="H9" t="n">
        <x:v>21</x:v>
      </x:c>
      <x:c r="I9" t="n">
        <x:v>15</x:v>
      </x:c>
      <x:c r="J9" t="n">
        <x:v>40.6</x:v>
      </x:c>
      <x:c r="K9" t="n">
        <x:v>417.2</x:v>
      </x:c>
      <x:c r="L9" t="n">
        <x:v>1349.2</x:v>
      </x:c>
      <x:c r="M9"/>
      <x:c r="N9"/>
      <x:c r="O9" t="n">
        <x:v>9.6</x:v>
      </x:c>
      <x:c r="P9" t="n">
        <x:v>53.6</x:v>
      </x:c>
      <x:c r="Q9" t="n">
        <x:v>22.6</x:v>
      </x:c>
      <x:c r="R9" t="n">
        <x:v>25855</x:v>
      </x:c>
      <x:c r="S9" t="n">
        <x:v>2.8</x:v>
      </x:c>
      <x:c r="T9" t="n">
        <x:v>17.3</x:v>
      </x:c>
      <x:c r="U9" t="str"/>
    </x:row>
    <x:row r="10">
      <x:c r="A10" t="str">
        <x:v>Raigad</x:v>
      </x:c>
      <x:c r="B10" t="str">
        <x:v>Raigad</x:v>
      </x:c>
      <x:c r="C10" t="str">
        <x:v>District</x:v>
      </x:c>
      <x:c r="D10" t="n">
        <x:v>5</x:v>
      </x:c>
      <x:c r="E10" t="n">
        <x:v>3.2</x:v>
      </x:c>
      <x:c r="F10" t="n">
        <x:v>4</x:v>
      </x:c>
      <x:c r="G10" t="n">
        <x:v>42</x:v>
      </x:c>
      <x:c r="H10" t="n">
        <x:v>18</x:v>
      </x:c>
      <x:c r="I10" t="n">
        <x:v>10</x:v>
      </x:c>
      <x:c r="J10" t="n">
        <x:v>25.8</x:v>
      </x:c>
      <x:c r="K10" t="n">
        <x:v>496.4</x:v>
      </x:c>
      <x:c r="L10" t="n">
        <x:v>2808.6</x:v>
      </x:c>
      <x:c r="M10" t="n">
        <x:v>3753</x:v>
      </x:c>
      <x:c r="N10" t="n">
        <x:v>315681</x:v>
      </x:c>
      <x:c r="O10" t="n">
        <x:v>16.9</x:v>
      </x:c>
      <x:c r="P10" t="n">
        <x:v>63.8</x:v>
      </x:c>
      <x:c r="Q10" t="n">
        <x:v>31.5</x:v>
      </x:c>
      <x:c r="R10" t="n">
        <x:v>41756</x:v>
      </x:c>
      <x:c r="S10" t="n">
        <x:v>0.5</x:v>
      </x:c>
      <x:c r="T10" t="n">
        <x:v>2.2</x:v>
      </x:c>
      <x:c r="U10" t="str"/>
    </x:row>
    <x:row r="11">
      <x:c r="A11" t="str">
        <x:v>Ratnagiri</x:v>
      </x:c>
      <x:c r="B11" t="str">
        <x:v>Ratnagiri</x:v>
      </x:c>
      <x:c r="C11" t="str">
        <x:v>District</x:v>
      </x:c>
      <x:c r="D11" t="n">
        <x:v>4</x:v>
      </x:c>
      <x:c r="E11" t="n">
        <x:v>7.6</x:v>
      </x:c>
      <x:c r="F11" t="n">
        <x:v>4.2</x:v>
      </x:c>
      <x:c r="G11" t="n">
        <x:v>23</x:v>
      </x:c>
      <x:c r="H11" t="n">
        <x:v>19</x:v>
      </x:c>
      <x:c r="I11" t="n">
        <x:v>12</x:v>
      </x:c>
      <x:c r="J11" t="n">
        <x:v>1.2</x:v>
      </x:c>
      <x:c r="K11" t="n">
        <x:v>214.2</x:v>
      </x:c>
      <x:c r="L11" t="n">
        <x:v>297.9</x:v>
      </x:c>
      <x:c r="M11" t="n">
        <x:v>4379</x:v>
      </x:c>
      <x:c r="N11" t="n">
        <x:v>245421</x:v>
      </x:c>
      <x:c r="O11" t="n">
        <x:v>14.6</x:v>
      </x:c>
      <x:c r="P11" t="n">
        <x:v>54.2</x:v>
      </x:c>
      <x:c r="Q11" t="n">
        <x:v>18.9</x:v>
      </x:c>
      <x:c r="R11" t="n">
        <x:v>26506</x:v>
      </x:c>
      <x:c r="S11" t="n">
        <x:v>1.2</x:v>
      </x:c>
      <x:c r="T11" t="n">
        <x:v>7.6</x:v>
      </x:c>
      <x:c r="U11" t="str"/>
    </x:row>
    <x:row r="12">
      <x:c r="A12" t="str">
        <x:v>Sindhudurg</x:v>
      </x:c>
      <x:c r="B12" t="str">
        <x:v>Sindhudurg</x:v>
      </x:c>
      <x:c r="C12" t="str">
        <x:v>District</x:v>
      </x:c>
      <x:c r="D12" t="n">
        <x:v>3</x:v>
      </x:c>
      <x:c r="E12" t="n">
        <x:v>7.7</x:v>
      </x:c>
      <x:c r="F12" t="n">
        <x:v>0.4</x:v>
      </x:c>
      <x:c r="G12" t="n">
        <x:v>21</x:v>
      </x:c>
      <x:c r="H12" t="n">
        <x:v>15</x:v>
      </x:c>
      <x:c r="I12" t="n">
        <x:v>15</x:v>
      </x:c>
      <x:c r="J12" t="n">
        <x:v>10.7</x:v>
      </x:c>
      <x:c r="K12" t="n">
        <x:v>219.8</x:v>
      </x:c>
      <x:c r="L12" t="n">
        <x:v>66.7</x:v>
      </x:c>
      <x:c r="M12" t="n">
        <x:v>5902</x:v>
      </x:c>
      <x:c r="N12" t="n">
        <x:v>279080</x:v>
      </x:c>
      <x:c r="O12" t="n">
        <x:v>17.4</x:v>
      </x:c>
      <x:c r="P12" t="n">
        <x:v>39</x:v>
      </x:c>
      <x:c r="Q12" t="n">
        <x:v>17.9</x:v>
      </x:c>
      <x:c r="R12" t="n">
        <x:v>31841</x:v>
      </x:c>
      <x:c r="S12" t="n">
        <x:v>2.5</x:v>
      </x:c>
      <x:c r="T12" t="n">
        <x:v>12</x:v>
      </x:c>
      <x:c r="U12" t="str"/>
    </x:row>
    <x:row r="13">
      <x:c r="A13" t="str">
        <x:v>Nashik</x:v>
      </x:c>
      <x:c r="B13" t="str">
        <x:v>Nashik</x:v>
      </x:c>
      <x:c r="C13" t="str">
        <x:v>District</x:v>
      </x:c>
      <x:c r="D13" t="n">
        <x:v>4</x:v>
      </x:c>
      <x:c r="E13" t="n">
        <x:v>6.6</x:v>
      </x:c>
      <x:c r="F13" t="n">
        <x:v>1.5</x:v>
      </x:c>
      <x:c r="G13" t="n">
        <x:v>48</x:v>
      </x:c>
      <x:c r="H13" t="n">
        <x:v>22</x:v>
      </x:c>
      <x:c r="I13" t="n">
        <x:v>14</x:v>
      </x:c>
      <x:c r="J13" t="n">
        <x:v>22.1</x:v>
      </x:c>
      <x:c r="K13" t="n">
        <x:v>151.5</x:v>
      </x:c>
      <x:c r="L13" t="n">
        <x:v>531.4</x:v>
      </x:c>
      <x:c r="M13" t="n">
        <x:v>3407</x:v>
      </x:c>
      <x:c r="N13" t="n">
        <x:v>249000</x:v>
      </x:c>
      <x:c r="O13" t="n">
        <x:v>10</x:v>
      </x:c>
      <x:c r="P13" t="n">
        <x:v>75.9</x:v>
      </x:c>
      <x:c r="Q13" t="n">
        <x:v>20.2</x:v>
      </x:c>
      <x:c r="R13" t="n">
        <x:v>40056</x:v>
      </x:c>
      <x:c r="S13" t="n">
        <x:v>1.6</x:v>
      </x:c>
      <x:c r="T13" t="n">
        <x:v>7.2</x:v>
      </x:c>
      <x:c r="U13" t="str"/>
    </x:row>
    <x:row r="14">
      <x:c r="A14" t="str">
        <x:v>Dhule</x:v>
      </x:c>
      <x:c r="B14" t="str">
        <x:v>Dhule</x:v>
      </x:c>
      <x:c r="C14" t="str">
        <x:v>District</x:v>
      </x:c>
      <x:c r="D14" t="n">
        <x:v>3</x:v>
      </x:c>
      <x:c r="E14" t="n">
        <x:v>11.8</x:v>
      </x:c>
      <x:c r="F14" t="n">
        <x:v>4</x:v>
      </x:c>
      <x:c r="G14" t="n">
        <x:v>50</x:v>
      </x:c>
      <x:c r="H14" t="n">
        <x:v>22</x:v>
      </x:c>
      <x:c r="I14" t="n">
        <x:v>12</x:v>
      </x:c>
      <x:c r="J14" t="n">
        <x:v>28.7</x:v>
      </x:c>
      <x:c r="K14" t="n">
        <x:v>117.6</x:v>
      </x:c>
      <x:c r="L14" t="n">
        <x:v>239.1</x:v>
      </x:c>
      <x:c r="M14" t="n">
        <x:v>3452</x:v>
      </x:c>
      <x:c r="N14" t="n">
        <x:v>189384</x:v>
      </x:c>
      <x:c r="O14" t="n">
        <x:v>6.8</x:v>
      </x:c>
      <x:c r="P14" t="n">
        <x:v>73.7</x:v>
      </x:c>
      <x:c r="Q14" t="n">
        <x:v>11.7</x:v>
      </x:c>
      <x:c r="R14" t="n">
        <x:v>27181</x:v>
      </x:c>
      <x:c r="S14" t="n">
        <x:v>1.7</x:v>
      </x:c>
      <x:c r="T14" t="n">
        <x:v>7.6</x:v>
      </x:c>
      <x:c r="U14" t="str"/>
    </x:row>
    <x:row r="15">
      <x:c r="A15" t="str">
        <x:v>Nandurbar</x:v>
      </x:c>
      <x:c r="B15" t="str">
        <x:v>Nandurbar</x:v>
      </x:c>
      <x:c r="C15" t="str">
        <x:v>District</x:v>
      </x:c>
      <x:c r="D15" t="n">
        <x:v>3</x:v>
      </x:c>
      <x:c r="E15" t="n">
        <x:v>6.1</x:v>
      </x:c>
      <x:c r="F15" t="n">
        <x:v>0</x:v>
      </x:c>
      <x:c r="G15" t="n">
        <x:v>45</x:v>
      </x:c>
      <x:c r="H15" t="n">
        <x:v>18</x:v>
      </x:c>
      <x:c r="I15" t="n">
        <x:v>13</x:v>
      </x:c>
      <x:c r="J15" t="n">
        <x:v>39.4</x:v>
      </x:c>
      <x:c r="K15" t="n">
        <x:v>63.4</x:v>
      </x:c>
      <x:c r="L15" t="n">
        <x:v>48.3</x:v>
      </x:c>
      <x:c r="M15" t="n">
        <x:v>2776</x:v>
      </x:c>
      <x:c r="N15" t="n">
        <x:v>129146</x:v>
      </x:c>
      <x:c r="O15" t="n">
        <x:v>5</x:v>
      </x:c>
      <x:c r="P15" t="n">
        <x:v>65.1</x:v>
      </x:c>
      <x:c r="Q15" t="n">
        <x:v>8.2</x:v>
      </x:c>
      <x:c r="R15" t="n">
        <x:v>16210</x:v>
      </x:c>
      <x:c r="S15" t="n">
        <x:v>6.7</x:v>
      </x:c>
      <x:c r="T15" t="n">
        <x:v>23.4</x:v>
      </x:c>
      <x:c r="U15" t="str"/>
    </x:row>
    <x:row r="16">
      <x:c r="A16" t="str">
        <x:v>Jalgaon</x:v>
      </x:c>
      <x:c r="B16" t="str">
        <x:v>Jalgaon</x:v>
      </x:c>
      <x:c r="C16" t="str">
        <x:v>District</x:v>
      </x:c>
      <x:c r="D16" t="n">
        <x:v>3</x:v>
      </x:c>
      <x:c r="E16" t="n">
        <x:v>7.6</x:v>
      </x:c>
      <x:c r="F16" t="n">
        <x:v>6</x:v>
      </x:c>
      <x:c r="G16" t="n">
        <x:v>50</x:v>
      </x:c>
      <x:c r="H16" t="n">
        <x:v>20</x:v>
      </x:c>
      <x:c r="I16" t="n">
        <x:v>14</x:v>
      </x:c>
      <x:c r="J16" t="n">
        <x:v>17.1</x:v>
      </x:c>
      <x:c r="K16" t="n">
        <x:v>121.6</x:v>
      </x:c>
      <x:c r="L16" t="n">
        <x:v>175</x:v>
      </x:c>
      <x:c r="M16" t="n">
        <x:v>3652</x:v>
      </x:c>
      <x:c r="N16" t="n">
        <x:v>182696</x:v>
      </x:c>
      <x:c r="O16" t="n">
        <x:v>8.4</x:v>
      </x:c>
      <x:c r="P16" t="n">
        <x:v>69.5</x:v>
      </x:c>
      <x:c r="Q16" t="n">
        <x:v>10.6</x:v>
      </x:c>
      <x:c r="R16" t="n">
        <x:v>26128</x:v>
      </x:c>
      <x:c r="S16" t="n">
        <x:v>1.3</x:v>
      </x:c>
      <x:c r="T16" t="n">
        <x:v>8.8</x:v>
      </x:c>
      <x:c r="U16" t="str"/>
    </x:row>
    <x:row r="17">
      <x:c r="A17" t="str">
        <x:v>Ahilyanagar</x:v>
      </x:c>
      <x:c r="B17" t="str">
        <x:v>Ahilyanagar</x:v>
      </x:c>
      <x:c r="C17" t="str">
        <x:v>District</x:v>
      </x:c>
      <x:c r="D17" t="n">
        <x:v>3</x:v>
      </x:c>
      <x:c r="E17" t="n">
        <x:v>5.2</x:v>
      </x:c>
      <x:c r="F17" t="n">
        <x:v>2.4</x:v>
      </x:c>
      <x:c r="G17" t="n">
        <x:v>41</x:v>
      </x:c>
      <x:c r="H17" t="n">
        <x:v>24</x:v>
      </x:c>
      <x:c r="I17" t="n">
        <x:v>12</x:v>
      </x:c>
      <x:c r="J17" t="n">
        <x:v>10.8</x:v>
      </x:c>
      <x:c r="K17" t="n">
        <x:v>93.7</x:v>
      </x:c>
      <x:c r="L17" t="n">
        <x:v>238.6</x:v>
      </x:c>
      <x:c r="M17" t="n">
        <x:v>5299</x:v>
      </x:c>
      <x:c r="N17" t="n">
        <x:v>230819</x:v>
      </x:c>
      <x:c r="O17" t="n">
        <x:v>9.2</x:v>
      </x:c>
      <x:c r="P17" t="n">
        <x:v>75.3</x:v>
      </x:c>
      <x:c r="Q17" t="n">
        <x:v>18.1</x:v>
      </x:c>
      <x:c r="R17" t="n">
        <x:v>39599</x:v>
      </x:c>
      <x:c r="S17" t="n">
        <x:v>0.7</x:v>
      </x:c>
      <x:c r="T17" t="n">
        <x:v>4.8</x:v>
      </x:c>
      <x:c r="U17" t="str"/>
    </x:row>
    <x:row r="18">
      <x:c r="A18" t="str">
        <x:v>Pune</x:v>
      </x:c>
      <x:c r="B18" t="str">
        <x:v>Pune</x:v>
      </x:c>
      <x:c r="C18" t="str">
        <x:v>District</x:v>
      </x:c>
      <x:c r="D18" t="n">
        <x:v>5</x:v>
      </x:c>
      <x:c r="E18" t="n">
        <x:v>5.2</x:v>
      </x:c>
      <x:c r="F18" t="n">
        <x:v>4.5</x:v>
      </x:c>
      <x:c r="G18" t="n">
        <x:v>54</x:v>
      </x:c>
      <x:c r="H18" t="n">
        <x:v>16</x:v>
      </x:c>
      <x:c r="I18" t="n">
        <x:v>10</x:v>
      </x:c>
      <x:c r="J18" t="n">
        <x:v>14.6</x:v>
      </x:c>
      <x:c r="K18" t="n">
        <x:v>442.5</x:v>
      </x:c>
      <x:c r="L18" t="n">
        <x:v>1047.6</x:v>
      </x:c>
      <x:c r="M18" t="n">
        <x:v>5267</x:v>
      </x:c>
      <x:c r="N18" t="n">
        <x:v>374257</x:v>
      </x:c>
      <x:c r="O18" t="n">
        <x:v>16.6</x:v>
      </x:c>
      <x:c r="P18" t="n">
        <x:v>74.7</x:v>
      </x:c>
      <x:c r="Q18" t="n">
        <x:v>45.4</x:v>
      </x:c>
      <x:c r="R18" t="n">
        <x:v>72758</x:v>
      </x:c>
      <x:c r="S18" t="n">
        <x:v>0.4</x:v>
      </x:c>
      <x:c r="T18" t="n">
        <x:v>3.8</x:v>
      </x:c>
      <x:c r="U18" t="str"/>
    </x:row>
    <x:row r="19">
      <x:c r="A19" t="str">
        <x:v>Satara</x:v>
      </x:c>
      <x:c r="B19" t="str">
        <x:v>Satara</x:v>
      </x:c>
      <x:c r="C19" t="str">
        <x:v>District</x:v>
      </x:c>
      <x:c r="D19" t="n">
        <x:v>4</x:v>
      </x:c>
      <x:c r="E19" t="n">
        <x:v>3.7</x:v>
      </x:c>
      <x:c r="F19" t="n">
        <x:v>6.5</x:v>
      </x:c>
      <x:c r="G19" t="n">
        <x:v>34</x:v>
      </x:c>
      <x:c r="H19" t="n">
        <x:v>17</x:v>
      </x:c>
      <x:c r="I19" t="n">
        <x:v>15</x:v>
      </x:c>
      <x:c r="J19" t="n">
        <x:v>15.1</x:v>
      </x:c>
      <x:c r="K19" t="n">
        <x:v>156.9</x:v>
      </x:c>
      <x:c r="L19" t="n">
        <x:v>330.9</x:v>
      </x:c>
      <x:c r="M19" t="n">
        <x:v>12483</x:v>
      </x:c>
      <x:c r="N19" t="n">
        <x:v>241369</x:v>
      </x:c>
      <x:c r="O19" t="n">
        <x:v>9.6</x:v>
      </x:c>
      <x:c r="P19" t="n">
        <x:v>75.3</x:v>
      </x:c>
      <x:c r="Q19" t="n">
        <x:v>16.5</x:v>
      </x:c>
      <x:c r="R19" t="n">
        <x:v>38634</x:v>
      </x:c>
      <x:c r="S19" t="n">
        <x:v>0.5</x:v>
      </x:c>
      <x:c r="T19" t="n">
        <x:v>3.1</x:v>
      </x:c>
      <x:c r="U19" t="str"/>
    </x:row>
    <x:row r="20">
      <x:c r="A20" t="str">
        <x:v>Sangli</x:v>
      </x:c>
      <x:c r="B20" t="str">
        <x:v>Sangli</x:v>
      </x:c>
      <x:c r="C20" t="str">
        <x:v>District</x:v>
      </x:c>
      <x:c r="D20" t="n">
        <x:v>3</x:v>
      </x:c>
      <x:c r="E20" t="n">
        <x:v>3.3</x:v>
      </x:c>
      <x:c r="F20" t="n">
        <x:v>6.4</x:v>
      </x:c>
      <x:c r="G20" t="n">
        <x:v>41</x:v>
      </x:c>
      <x:c r="H20" t="n">
        <x:v>21</x:v>
      </x:c>
      <x:c r="I20" t="n">
        <x:v>15</x:v>
      </x:c>
      <x:c r="J20" t="n">
        <x:v>6.4</x:v>
      </x:c>
      <x:c r="K20" t="n">
        <x:v>159.5</x:v>
      </x:c>
      <x:c r="L20" t="n">
        <x:v>275.1</x:v>
      </x:c>
      <x:c r="M20" t="n">
        <x:v>9611</x:v>
      </x:c>
      <x:c r="N20" t="n">
        <x:v>258557</x:v>
      </x:c>
      <x:c r="O20" t="n">
        <x:v>10.9</x:v>
      </x:c>
      <x:c r="P20" t="n">
        <x:v>69.2</x:v>
      </x:c>
      <x:c r="Q20" t="n">
        <x:v>18</x:v>
      </x:c>
      <x:c r="R20" t="n">
        <x:v>37784</x:v>
      </x:c>
      <x:c r="S20" t="n">
        <x:v>0.3</x:v>
      </x:c>
      <x:c r="T20" t="n">
        <x:v>3</x:v>
      </x:c>
      <x:c r="U20" t="str"/>
    </x:row>
    <x:row r="21">
      <x:c r="A21" t="str">
        <x:v>Solapur</x:v>
      </x:c>
      <x:c r="B21" t="str">
        <x:v>Solapur</x:v>
      </x:c>
      <x:c r="C21" t="str">
        <x:v>District</x:v>
      </x:c>
      <x:c r="D21" t="n">
        <x:v>3</x:v>
      </x:c>
      <x:c r="E21" t="n">
        <x:v>6.8</x:v>
      </x:c>
      <x:c r="F21" t="n">
        <x:v>3.4</x:v>
      </x:c>
      <x:c r="G21" t="n">
        <x:v>39</x:v>
      </x:c>
      <x:c r="H21" t="n">
        <x:v>22</x:v>
      </x:c>
      <x:c r="I21" t="n">
        <x:v>13</x:v>
      </x:c>
      <x:c r="J21" t="n">
        <x:v>2.6</x:v>
      </x:c>
      <x:c r="K21" t="n">
        <x:v>117.7</x:v>
      </x:c>
      <x:c r="L21" t="n">
        <x:v>237.1</x:v>
      </x:c>
      <x:c r="M21" t="n">
        <x:v>8416</x:v>
      </x:c>
      <x:c r="N21" t="n">
        <x:v>253088</x:v>
      </x:c>
      <x:c r="O21" t="n">
        <x:v>8.8</x:v>
      </x:c>
      <x:c r="P21" t="n">
        <x:v>86</x:v>
      </x:c>
      <x:c r="Q21" t="n">
        <x:v>15.6</x:v>
      </x:c>
      <x:c r="R21" t="n">
        <x:v>34739</x:v>
      </x:c>
      <x:c r="S21" t="n">
        <x:v>0.4</x:v>
      </x:c>
      <x:c r="T21" t="n">
        <x:v>3.5</x:v>
      </x:c>
      <x:c r="U21" t="str"/>
    </x:row>
    <x:row r="22">
      <x:c r="A22" t="str">
        <x:v>Kolhapur</x:v>
      </x:c>
      <x:c r="B22" t="str">
        <x:v>Kolhapur</x:v>
      </x:c>
      <x:c r="C22" t="str">
        <x:v>District</x:v>
      </x:c>
      <x:c r="D22" t="n">
        <x:v>5</x:v>
      </x:c>
      <x:c r="E22" t="n">
        <x:v>2.1</x:v>
      </x:c>
      <x:c r="F22" t="n">
        <x:v>1.3</x:v>
      </x:c>
      <x:c r="G22" t="n">
        <x:v>39</x:v>
      </x:c>
      <x:c r="H22" t="n">
        <x:v>18</x:v>
      </x:c>
      <x:c r="I22" t="n">
        <x:v>17</x:v>
      </x:c>
      <x:c r="J22" t="n">
        <x:v>22.7</x:v>
      </x:c>
      <x:c r="K22" t="n">
        <x:v>171.1</x:v>
      </x:c>
      <x:c r="L22" t="n">
        <x:v>949.6</x:v>
      </x:c>
      <x:c r="M22" t="n">
        <x:v>14341</x:v>
      </x:c>
      <x:c r="N22" t="n">
        <x:v>282297</x:v>
      </x:c>
      <x:c r="O22" t="n">
        <x:v>11.1</x:v>
      </x:c>
      <x:c r="P22" t="n">
        <x:v>159.7</x:v>
      </x:c>
      <x:c r="Q22" t="n">
        <x:v>21.2</x:v>
      </x:c>
      <x:c r="R22" t="n">
        <x:v>41538</x:v>
      </x:c>
      <x:c r="S22" t="n">
        <x:v>0.4</x:v>
      </x:c>
      <x:c r="T22" t="n">
        <x:v>2.9</x:v>
      </x:c>
      <x:c r="U22" t="str"/>
    </x:row>
    <x:row r="23">
      <x:c r="A23" t="str">
        <x:v>Chhatrapti Sambhajinagar</x:v>
      </x:c>
      <x:c r="B23" t="str">
        <x:v>Chhatrapati Sambhajinagar</x:v>
      </x:c>
      <x:c r="C23" t="str">
        <x:v>District</x:v>
      </x:c>
      <x:c r="D23" t="n">
        <x:v>4</x:v>
      </x:c>
      <x:c r="E23" t="n">
        <x:v>5.6</x:v>
      </x:c>
      <x:c r="F23" t="n">
        <x:v>6.5</x:v>
      </x:c>
      <x:c r="G23" t="n">
        <x:v>36</x:v>
      </x:c>
      <x:c r="H23" t="n">
        <x:v>23</x:v>
      </x:c>
      <x:c r="I23" t="n">
        <x:v>14</x:v>
      </x:c>
      <x:c r="J23" t="n">
        <x:v>9.3</x:v>
      </x:c>
      <x:c r="K23" t="n">
        <x:v>164.9</x:v>
      </x:c>
      <x:c r="L23" t="n">
        <x:v>620.4</x:v>
      </x:c>
      <x:c r="M23" t="n">
        <x:v>3758</x:v>
      </x:c>
      <x:c r="N23" t="n">
        <x:v>235677</x:v>
      </x:c>
      <x:c r="O23" t="n">
        <x:v>8.9</x:v>
      </x:c>
      <x:c r="P23" t="n">
        <x:v>84.5</x:v>
      </x:c>
      <x:c r="Q23" t="n">
        <x:v>20.9</x:v>
      </x:c>
      <x:c r="R23" t="n">
        <x:v>41955</x:v>
      </x:c>
      <x:c r="S23" t="n">
        <x:v>1.2</x:v>
      </x:c>
      <x:c r="T23" t="n">
        <x:v>5.6</x:v>
      </x:c>
      <x:c r="U23" t="str"/>
    </x:row>
    <x:row r="24">
      <x:c r="A24" t="str">
        <x:v>Jalna</x:v>
      </x:c>
      <x:c r="B24" t="str">
        <x:v>Jalna</x:v>
      </x:c>
      <x:c r="C24" t="str">
        <x:v>District</x:v>
      </x:c>
      <x:c r="D24" t="n">
        <x:v>3</x:v>
      </x:c>
      <x:c r="E24" t="n">
        <x:v>3.3</x:v>
      </x:c>
      <x:c r="F24" t="n">
        <x:v>1</x:v>
      </x:c>
      <x:c r="G24" t="n">
        <x:v>38</x:v>
      </x:c>
      <x:c r="H24" t="n">
        <x:v>22</x:v>
      </x:c>
      <x:c r="I24" t="n">
        <x:v>16</x:v>
      </x:c>
      <x:c r="J24" t="n">
        <x:v>1.3</x:v>
      </x:c>
      <x:c r="K24" t="n">
        <x:v>64.9</x:v>
      </x:c>
      <x:c r="L24" t="n">
        <x:v>1616.7</x:v>
      </x:c>
      <x:c r="M24" t="n">
        <x:v>4870</x:v>
      </x:c>
      <x:c r="N24" t="n">
        <x:v>178329</x:v>
      </x:c>
      <x:c r="O24" t="n">
        <x:v>6.1</x:v>
      </x:c>
      <x:c r="P24" t="n">
        <x:v>120.4</x:v>
      </x:c>
      <x:c r="Q24" t="n">
        <x:v>8.8</x:v>
      </x:c>
      <x:c r="R24" t="n">
        <x:v>25745</x:v>
      </x:c>
      <x:c r="S24" t="n">
        <x:v>0.6</x:v>
      </x:c>
      <x:c r="T24" t="n">
        <x:v>3.9</x:v>
      </x:c>
      <x:c r="U24" t="str"/>
    </x:row>
    <x:row r="25">
      <x:c r="A25" t="str">
        <x:v>Parbhani</x:v>
      </x:c>
      <x:c r="B25" t="str">
        <x:v>Parbhani</x:v>
      </x:c>
      <x:c r="C25" t="str">
        <x:v>District</x:v>
      </x:c>
      <x:c r="D25" t="n">
        <x:v>3</x:v>
      </x:c>
      <x:c r="E25" t="n">
        <x:v>4.5</x:v>
      </x:c>
      <x:c r="F25" t="n">
        <x:v>0</x:v>
      </x:c>
      <x:c r="G25" t="n">
        <x:v>34</x:v>
      </x:c>
      <x:c r="H25" t="n">
        <x:v>24</x:v>
      </x:c>
      <x:c r="I25" t="n">
        <x:v>17</x:v>
      </x:c>
      <x:c r="J25" t="n">
        <x:v>1.6</x:v>
      </x:c>
      <x:c r="K25" t="n">
        <x:v>81.5</x:v>
      </x:c>
      <x:c r="L25" t="n">
        <x:v>64.3</x:v>
      </x:c>
      <x:c r="M25" t="n">
        <x:v>3173</x:v>
      </x:c>
      <x:c r="N25" t="n">
        <x:v>175758</x:v>
      </x:c>
      <x:c r="O25" t="n">
        <x:v>5.8</x:v>
      </x:c>
      <x:c r="P25" t="n">
        <x:v>96.8</x:v>
      </x:c>
      <x:c r="Q25" t="n">
        <x:v>9</x:v>
      </x:c>
      <x:c r="R25" t="n">
        <x:v>22611</x:v>
      </x:c>
      <x:c r="S25" t="n">
        <x:v>0.9</x:v>
      </x:c>
      <x:c r="T25" t="n">
        <x:v>4.1</x:v>
      </x:c>
      <x:c r="U25" t="str"/>
    </x:row>
    <x:row r="26">
      <x:c r="A26" t="str">
        <x:v>Hingoli</x:v>
      </x:c>
      <x:c r="B26" t="str">
        <x:v>Hingoli</x:v>
      </x:c>
      <x:c r="C26" t="str">
        <x:v>District</x:v>
      </x:c>
      <x:c r="D26" t="n">
        <x:v>3</x:v>
      </x:c>
      <x:c r="E26" t="n">
        <x:v>5.5</x:v>
      </x:c>
      <x:c r="F26" t="n">
        <x:v>1.4</x:v>
      </x:c>
      <x:c r="G26" t="n">
        <x:v>32</x:v>
      </x:c>
      <x:c r="H26" t="n">
        <x:v>23</x:v>
      </x:c>
      <x:c r="I26" t="n">
        <x:v>15</x:v>
      </x:c>
      <x:c r="J26" t="n">
        <x:v>6.1</x:v>
      </x:c>
      <x:c r="K26" t="n">
        <x:v>66.1</x:v>
      </x:c>
      <x:c r="L26" t="n">
        <x:v>30.2</x:v>
      </x:c>
      <x:c r="M26" t="n">
        <x:v>2979</x:v>
      </x:c>
      <x:c r="N26" t="n">
        <x:v>147333</x:v>
      </x:c>
      <x:c r="O26" t="n">
        <x:v>6</x:v>
      </x:c>
      <x:c r="P26" t="n">
        <x:v>92.7</x:v>
      </x:c>
      <x:c r="Q26" t="n">
        <x:v>6.7</x:v>
      </x:c>
      <x:c r="R26" t="n">
        <x:v>19843</x:v>
      </x:c>
      <x:c r="S26" t="n">
        <x:v>0.7</x:v>
      </x:c>
      <x:c r="T26" t="n">
        <x:v>6.5</x:v>
      </x:c>
      <x:c r="U26" t="str"/>
    </x:row>
    <x:row r="27">
      <x:c r="A27" t="str">
        <x:v>Beed</x:v>
      </x:c>
      <x:c r="B27" t="str">
        <x:v>Beed</x:v>
      </x:c>
      <x:c r="C27" t="str">
        <x:v>District</x:v>
      </x:c>
      <x:c r="D27" t="n">
        <x:v>3</x:v>
      </x:c>
      <x:c r="E27" t="n">
        <x:v>3.9</x:v>
      </x:c>
      <x:c r="F27" t="n">
        <x:v>0</x:v>
      </x:c>
      <x:c r="G27" t="n">
        <x:v>31</x:v>
      </x:c>
      <x:c r="H27" t="n">
        <x:v>19</x:v>
      </x:c>
      <x:c r="I27" t="n">
        <x:v>14</x:v>
      </x:c>
      <x:c r="J27" t="n">
        <x:v>2.6</x:v>
      </x:c>
      <x:c r="K27" t="n">
        <x:v>68.2</x:v>
      </x:c>
      <x:c r="L27" t="n">
        <x:v>56.5</x:v>
      </x:c>
      <x:c r="M27" t="n">
        <x:v>5267</x:v>
      </x:c>
      <x:c r="N27" t="n">
        <x:v>177240</x:v>
      </x:c>
      <x:c r="O27" t="n">
        <x:v>6.1</x:v>
      </x:c>
      <x:c r="P27" t="n">
        <x:v>70.5</x:v>
      </x:c>
      <x:c r="Q27" t="n">
        <x:v>6.4</x:v>
      </x:c>
      <x:c r="R27" t="n">
        <x:v>23029</x:v>
      </x:c>
      <x:c r="S27" t="n">
        <x:v>0.6</x:v>
      </x:c>
      <x:c r="T27" t="n">
        <x:v>4.3</x:v>
      </x:c>
      <x:c r="U27" t="str"/>
    </x:row>
    <x:row r="28">
      <x:c r="A28" t="str">
        <x:v>Nanded</x:v>
      </x:c>
      <x:c r="B28" t="str">
        <x:v>Nanded</x:v>
      </x:c>
      <x:c r="C28" t="str">
        <x:v>District</x:v>
      </x:c>
      <x:c r="D28" t="n">
        <x:v>4</x:v>
      </x:c>
      <x:c r="E28" t="n">
        <x:v>5</x:v>
      </x:c>
      <x:c r="F28" t="n">
        <x:v>0</x:v>
      </x:c>
      <x:c r="G28" t="n">
        <x:v>37</x:v>
      </x:c>
      <x:c r="H28" t="n">
        <x:v>20</x:v>
      </x:c>
      <x:c r="I28" t="n">
        <x:v>15</x:v>
      </x:c>
      <x:c r="J28" t="n">
        <x:v>12.4</x:v>
      </x:c>
      <x:c r="K28" t="n">
        <x:v>107.7</x:v>
      </x:c>
      <x:c r="L28" t="n">
        <x:v>43.5</x:v>
      </x:c>
      <x:c r="M28" t="n">
        <x:v>2726</x:v>
      </x:c>
      <x:c r="N28" t="n">
        <x:v>181013</x:v>
      </x:c>
      <x:c r="O28" t="n">
        <x:v>6.2</x:v>
      </x:c>
      <x:c r="P28" t="n">
        <x:v>87.6</x:v>
      </x:c>
      <x:c r="Q28" t="n">
        <x:v>11</x:v>
      </x:c>
      <x:c r="R28" t="n">
        <x:v>21656</x:v>
      </x:c>
      <x:c r="S28" t="n">
        <x:v>0.4</x:v>
      </x:c>
      <x:c r="T28" t="n">
        <x:v>2.7</x:v>
      </x:c>
      <x:c r="U28" t="str"/>
    </x:row>
    <x:row r="29">
      <x:c r="A29" t="str">
        <x:v>Dharashiv</x:v>
      </x:c>
      <x:c r="B29" t="str">
        <x:v>Dharashiv</x:v>
      </x:c>
      <x:c r="C29" t="str">
        <x:v>District</x:v>
      </x:c>
      <x:c r="D29" t="n">
        <x:v>2</x:v>
      </x:c>
      <x:c r="E29" t="n">
        <x:v>4.8</x:v>
      </x:c>
      <x:c r="F29" t="n">
        <x:v>7.7</x:v>
      </x:c>
      <x:c r="G29" t="n">
        <x:v>33</x:v>
      </x:c>
      <x:c r="H29" t="n">
        <x:v>19</x:v>
      </x:c>
      <x:c r="I29" t="n">
        <x:v>14</x:v>
      </x:c>
      <x:c r="J29" t="n">
        <x:v>1.3</x:v>
      </x:c>
      <x:c r="K29" t="n">
        <x:v>86.5</x:v>
      </x:c>
      <x:c r="L29" t="n">
        <x:v>64</x:v>
      </x:c>
      <x:c r="M29" t="n">
        <x:v>7337</x:v>
      </x:c>
      <x:c r="N29" t="n">
        <x:v>190383</x:v>
      </x:c>
      <x:c r="O29" t="n">
        <x:v>7.5</x:v>
      </x:c>
      <x:c r="P29" t="n">
        <x:v>68.7</x:v>
      </x:c>
      <x:c r="Q29" t="n">
        <x:v>14.8</x:v>
      </x:c>
      <x:c r="R29" t="n">
        <x:v>21973</x:v>
      </x:c>
      <x:c r="S29" t="n">
        <x:v>0.9</x:v>
      </x:c>
      <x:c r="T29" t="n">
        <x:v>6.4</x:v>
      </x:c>
      <x:c r="U29" t="str"/>
    </x:row>
    <x:row r="30">
      <x:c r="A30" t="str">
        <x:v>Latur</x:v>
      </x:c>
      <x:c r="B30" t="str">
        <x:v>Latur</x:v>
      </x:c>
      <x:c r="C30" t="str">
        <x:v>District</x:v>
      </x:c>
      <x:c r="D30" t="n">
        <x:v>4</x:v>
      </x:c>
      <x:c r="E30" t="n">
        <x:v>5.6</x:v>
      </x:c>
      <x:c r="F30" t="n">
        <x:v>0.4</x:v>
      </x:c>
      <x:c r="G30" t="n">
        <x:v>35</x:v>
      </x:c>
      <x:c r="H30" t="n">
        <x:v>19</x:v>
      </x:c>
      <x:c r="I30" t="n">
        <x:v>13</x:v>
      </x:c>
      <x:c r="J30" t="n">
        <x:v>0.7</x:v>
      </x:c>
      <x:c r="K30" t="n">
        <x:v>123</x:v>
      </x:c>
      <x:c r="L30" t="n">
        <x:v>105</x:v>
      </x:c>
      <x:c r="M30" t="n">
        <x:v>4091</x:v>
      </x:c>
      <x:c r="N30" t="n">
        <x:v>193152</x:v>
      </x:c>
      <x:c r="O30" t="n">
        <x:v>7.4</x:v>
      </x:c>
      <x:c r="P30" t="n">
        <x:v>92.6</x:v>
      </x:c>
      <x:c r="Q30" t="n">
        <x:v>14.4</x:v>
      </x:c>
      <x:c r="R30" t="n">
        <x:v>26509</x:v>
      </x:c>
      <x:c r="S30" t="n">
        <x:v>0.5</x:v>
      </x:c>
      <x:c r="T30" t="n">
        <x:v>2.8</x:v>
      </x:c>
      <x:c r="U30" t="str"/>
    </x:row>
    <x:row r="31">
      <x:c r="A31" t="str">
        <x:v>Buldhana</x:v>
      </x:c>
      <x:c r="B31" t="str">
        <x:v>Buldhana</x:v>
      </x:c>
      <x:c r="C31" t="str">
        <x:v>District</x:v>
      </x:c>
      <x:c r="D31" t="n">
        <x:v>3</x:v>
      </x:c>
      <x:c r="E31" t="n">
        <x:v>3.3</x:v>
      </x:c>
      <x:c r="F31" t="n">
        <x:v>0.2</x:v>
      </x:c>
      <x:c r="G31" t="n">
        <x:v>43</x:v>
      </x:c>
      <x:c r="H31" t="n">
        <x:v>26</x:v>
      </x:c>
      <x:c r="I31" t="n">
        <x:v>12</x:v>
      </x:c>
      <x:c r="J31" t="n">
        <x:v>12.2</x:v>
      </x:c>
      <x:c r="K31" t="n">
        <x:v>118</x:v>
      </x:c>
      <x:c r="L31" t="n">
        <x:v>55.3</x:v>
      </x:c>
      <x:c r="M31" t="n">
        <x:v>3587</x:v>
      </x:c>
      <x:c r="N31" t="n">
        <x:v>137235</x:v>
      </x:c>
      <x:c r="O31" t="n">
        <x:v>7.7</x:v>
      </x:c>
      <x:c r="P31" t="n">
        <x:v>78.8</x:v>
      </x:c>
      <x:c r="Q31" t="n">
        <x:v>9.9</x:v>
      </x:c>
      <x:c r="R31" t="n">
        <x:v>21554</x:v>
      </x:c>
      <x:c r="S31" t="n">
        <x:v>0.5</x:v>
      </x:c>
      <x:c r="T31" t="n">
        <x:v>5.5</x:v>
      </x:c>
      <x:c r="U31" t="str"/>
    </x:row>
    <x:row r="32">
      <x:c r="A32" t="str">
        <x:v>Akola</x:v>
      </x:c>
      <x:c r="B32" t="str">
        <x:v>Akola</x:v>
      </x:c>
      <x:c r="C32" t="str">
        <x:v>District</x:v>
      </x:c>
      <x:c r="D32" t="n">
        <x:v>3</x:v>
      </x:c>
      <x:c r="E32" t="n">
        <x:v>0</x:v>
      </x:c>
      <x:c r="F32" t="n">
        <x:v>2.3</x:v>
      </x:c>
      <x:c r="G32" t="n">
        <x:v>37</x:v>
      </x:c>
      <x:c r="H32" t="n">
        <x:v>24</x:v>
      </x:c>
      <x:c r="I32" t="n">
        <x:v>13</x:v>
      </x:c>
      <x:c r="J32" t="n">
        <x:v>7.3</x:v>
      </x:c>
      <x:c r="K32" t="n">
        <x:v>174.9</x:v>
      </x:c>
      <x:c r="L32" t="n">
        <x:v>109.5</x:v>
      </x:c>
      <x:c r="M32" t="n">
        <x:v>6630</x:v>
      </x:c>
      <x:c r="N32" t="n">
        <x:v>197333</x:v>
      </x:c>
      <x:c r="O32" t="n">
        <x:v>8.7</x:v>
      </x:c>
      <x:c r="P32" t="n">
        <x:v>67.6</x:v>
      </x:c>
      <x:c r="Q32" t="n">
        <x:v>13.6</x:v>
      </x:c>
      <x:c r="R32" t="n">
        <x:v>28320</x:v>
      </x:c>
      <x:c r="S32" t="n">
        <x:v>0.4</x:v>
      </x:c>
      <x:c r="T32" t="n">
        <x:v>3.5</x:v>
      </x:c>
      <x:c r="U32" t="str"/>
    </x:row>
    <x:row r="33">
      <x:c r="A33" t="str">
        <x:v>Washim</x:v>
      </x:c>
      <x:c r="B33" t="str">
        <x:v>Washim</x:v>
      </x:c>
      <x:c r="C33" t="str">
        <x:v>District</x:v>
      </x:c>
      <x:c r="D33" t="n">
        <x:v>3</x:v>
      </x:c>
      <x:c r="E33" t="n">
        <x:v>0</x:v>
      </x:c>
      <x:c r="F33" t="n">
        <x:v>1.3</x:v>
      </x:c>
      <x:c r="G33" t="n">
        <x:v>36</x:v>
      </x:c>
      <x:c r="H33" t="n">
        <x:v>26</x:v>
      </x:c>
      <x:c r="I33" t="n">
        <x:v>14</x:v>
      </x:c>
      <x:c r="J33" t="n">
        <x:v>8.9</x:v>
      </x:c>
      <x:c r="K33" t="n">
        <x:v>102.6</x:v>
      </x:c>
      <x:c r="L33" t="n">
        <x:v>39.3</x:v>
      </x:c>
      <x:c r="M33" t="n">
        <x:v>2653</x:v>
      </x:c>
      <x:c r="N33" t="n">
        <x:v>134754</x:v>
      </x:c>
      <x:c r="O33" t="n">
        <x:v>7.2</x:v>
      </x:c>
      <x:c r="P33" t="n">
        <x:v>98.5</x:v>
      </x:c>
      <x:c r="Q33" t="n">
        <x:v>12.1</x:v>
      </x:c>
      <x:c r="R33" t="n">
        <x:v>24014</x:v>
      </x:c>
      <x:c r="S33" t="n">
        <x:v>1.7</x:v>
      </x:c>
      <x:c r="T33" t="n">
        <x:v>7.9</x:v>
      </x:c>
      <x:c r="U33" t="str"/>
    </x:row>
    <x:row r="34">
      <x:c r="A34" t="str">
        <x:v>Amravati</x:v>
      </x:c>
      <x:c r="B34" t="str">
        <x:v>Amravati</x:v>
      </x:c>
      <x:c r="C34" t="str">
        <x:v>District</x:v>
      </x:c>
      <x:c r="D34" t="n">
        <x:v>2</x:v>
      </x:c>
      <x:c r="E34" t="n">
        <x:v>1.3</x:v>
      </x:c>
      <x:c r="F34" t="n">
        <x:v>2.5</x:v>
      </x:c>
      <x:c r="G34" t="n">
        <x:v>42</x:v>
      </x:c>
      <x:c r="H34" t="n">
        <x:v>19</x:v>
      </x:c>
      <x:c r="I34" t="n">
        <x:v>13</x:v>
      </x:c>
      <x:c r="J34" t="n">
        <x:v>28.6</x:v>
      </x:c>
      <x:c r="K34" t="n">
        <x:v>190.3</x:v>
      </x:c>
      <x:c r="L34" t="n">
        <x:v>118.7</x:v>
      </x:c>
      <x:c r="M34" t="n">
        <x:v>4610</x:v>
      </x:c>
      <x:c r="N34" t="n">
        <x:v>191401</x:v>
      </x:c>
      <x:c r="O34" t="n">
        <x:v>9</x:v>
      </x:c>
      <x:c r="P34" t="n">
        <x:v>70.2</x:v>
      </x:c>
      <x:c r="Q34" t="n">
        <x:v>16.4</x:v>
      </x:c>
      <x:c r="R34" t="n">
        <x:v>30067</x:v>
      </x:c>
      <x:c r="S34" t="n">
        <x:v>2.1</x:v>
      </x:c>
      <x:c r="T34" t="n">
        <x:v>10.8</x:v>
      </x:c>
      <x:c r="U34" t="str"/>
    </x:row>
    <x:row r="35">
      <x:c r="A35" t="str">
        <x:v>Yavatmal</x:v>
      </x:c>
      <x:c r="B35" t="str">
        <x:v>Yavatmal</x:v>
      </x:c>
      <x:c r="C35" t="str">
        <x:v>District</x:v>
      </x:c>
      <x:c r="D35" t="n">
        <x:v>2</x:v>
      </x:c>
      <x:c r="E35" t="n">
        <x:v>0</x:v>
      </x:c>
      <x:c r="F35" t="n">
        <x:v>0</x:v>
      </x:c>
      <x:c r="G35" t="n">
        <x:v>37</x:v>
      </x:c>
      <x:c r="H35" t="n">
        <x:v>24</x:v>
      </x:c>
      <x:c r="I35" t="n">
        <x:v>14</x:v>
      </x:c>
      <x:c r="J35" t="n">
        <x:v>22.5</x:v>
      </x:c>
      <x:c r="K35" t="n">
        <x:v>127</x:v>
      </x:c>
      <x:c r="L35" t="n">
        <x:v>112.4</x:v>
      </x:c>
      <x:c r="M35" t="n">
        <x:v>2402</x:v>
      </x:c>
      <x:c r="N35" t="n">
        <x:v>160088</x:v>
      </x:c>
      <x:c r="O35" t="n">
        <x:v>7.1</x:v>
      </x:c>
      <x:c r="P35" t="n">
        <x:v>64.1</x:v>
      </x:c>
      <x:c r="Q35" t="n">
        <x:v>10.6</x:v>
      </x:c>
      <x:c r="R35" t="n">
        <x:v>21561</x:v>
      </x:c>
      <x:c r="S35" t="n">
        <x:v>1.8</x:v>
      </x:c>
      <x:c r="T35" t="n">
        <x:v>7.1</x:v>
      </x:c>
      <x:c r="U35" t="str"/>
    </x:row>
    <x:row r="36">
      <x:c r="A36" t="str">
        <x:v>Wardha</x:v>
      </x:c>
      <x:c r="B36" t="str">
        <x:v>Wardha</x:v>
      </x:c>
      <x:c r="C36" t="str">
        <x:v>District</x:v>
      </x:c>
      <x:c r="D36" t="n">
        <x:v>2</x:v>
      </x:c>
      <x:c r="E36" t="n">
        <x:v>0</x:v>
      </x:c>
      <x:c r="F36" t="n">
        <x:v>4.4</x:v>
      </x:c>
      <x:c r="G36" t="n">
        <x:v>38</x:v>
      </x:c>
      <x:c r="H36" t="n">
        <x:v>17</x:v>
      </x:c>
      <x:c r="I36" t="n">
        <x:v>13</x:v>
      </x:c>
      <x:c r="J36" t="n">
        <x:v>17.5</x:v>
      </x:c>
      <x:c r="K36" t="n">
        <x:v>235.9</x:v>
      </x:c>
      <x:c r="L36" t="n">
        <x:v>605.7</x:v>
      </x:c>
      <x:c r="M36" t="n">
        <x:v>5056</x:v>
      </x:c>
      <x:c r="N36" t="n">
        <x:v>225691</x:v>
      </x:c>
      <x:c r="O36" t="n">
        <x:v>11.6</x:v>
      </x:c>
      <x:c r="P36" t="n">
        <x:v>81.9</x:v>
      </x:c>
      <x:c r="Q36" t="n">
        <x:v>16.3</x:v>
      </x:c>
      <x:c r="R36" t="n">
        <x:v>26017</x:v>
      </x:c>
      <x:c r="S36" t="n">
        <x:v>1.4</x:v>
      </x:c>
      <x:c r="T36" t="n">
        <x:v>8</x:v>
      </x:c>
      <x:c r="U36" t="str"/>
    </x:row>
    <x:row r="37">
      <x:c r="A37" t="str">
        <x:v>Nagpur</x:v>
      </x:c>
      <x:c r="B37" t="str">
        <x:v>Nagpur</x:v>
      </x:c>
      <x:c r="C37" t="str">
        <x:v>District</x:v>
      </x:c>
      <x:c r="D37" t="n">
        <x:v>4</x:v>
      </x:c>
      <x:c r="E37" t="n">
        <x:v>3.8</x:v>
      </x:c>
      <x:c r="F37" t="n">
        <x:v>2.2</x:v>
      </x:c>
      <x:c r="G37" t="n">
        <x:v>46</x:v>
      </x:c>
      <x:c r="H37" t="n">
        <x:v>16</x:v>
      </x:c>
      <x:c r="I37" t="n">
        <x:v>11</x:v>
      </x:c>
      <x:c r="J37" t="n">
        <x:v>26</x:v>
      </x:c>
      <x:c r="K37" t="n">
        <x:v>350.4</x:v>
      </x:c>
      <x:c r="L37" t="n">
        <x:v>553.1</x:v>
      </x:c>
      <x:c r="M37" t="n">
        <x:v>5356</x:v>
      </x:c>
      <x:c r="N37" t="n">
        <x:v>322927</x:v>
      </x:c>
      <x:c r="O37" t="n">
        <x:v>14.1</x:v>
      </x:c>
      <x:c r="P37" t="n">
        <x:v>55.7</x:v>
      </x:c>
      <x:c r="Q37" t="n">
        <x:v>29.5</x:v>
      </x:c>
      <x:c r="R37" t="n">
        <x:v>52280</x:v>
      </x:c>
      <x:c r="S37" t="n">
        <x:v>0.6</x:v>
      </x:c>
      <x:c r="T37" t="n">
        <x:v>6.2</x:v>
      </x:c>
      <x:c r="U37" t="str"/>
    </x:row>
    <x:row r="38">
      <x:c r="A38" t="str">
        <x:v>Bhandara</x:v>
      </x:c>
      <x:c r="B38" t="str">
        <x:v>Bhandara</x:v>
      </x:c>
      <x:c r="C38" t="str">
        <x:v>District</x:v>
      </x:c>
      <x:c r="D38" t="n">
        <x:v>3</x:v>
      </x:c>
      <x:c r="E38" t="n">
        <x:v>0.6</x:v>
      </x:c>
      <x:c r="F38" t="n">
        <x:v>0</x:v>
      </x:c>
      <x:c r="G38" t="n">
        <x:v>43</x:v>
      </x:c>
      <x:c r="H38" t="n">
        <x:v>24</x:v>
      </x:c>
      <x:c r="I38" t="n">
        <x:v>14</x:v>
      </x:c>
      <x:c r="J38" t="n">
        <x:v>34.3</x:v>
      </x:c>
      <x:c r="K38" t="n">
        <x:v>182.8</x:v>
      </x:c>
      <x:c r="L38" t="n">
        <x:v>305.2</x:v>
      </x:c>
      <x:c r="M38" t="n">
        <x:v>7045</x:v>
      </x:c>
      <x:c r="N38" t="n">
        <x:v>193418</x:v>
      </x:c>
      <x:c r="O38" t="n">
        <x:v>9.6</x:v>
      </x:c>
      <x:c r="P38" t="n">
        <x:v>38.5</x:v>
      </x:c>
      <x:c r="Q38" t="n">
        <x:v>27.5</x:v>
      </x:c>
      <x:c r="R38" t="n">
        <x:v>26836</x:v>
      </x:c>
      <x:c r="S38" t="n">
        <x:v>0.9</x:v>
      </x:c>
      <x:c r="T38" t="n">
        <x:v>5.3</x:v>
      </x:c>
      <x:c r="U38" t="str"/>
    </x:row>
    <x:row r="39">
      <x:c r="A39" t="str">
        <x:v>Gondiya</x:v>
      </x:c>
      <x:c r="B39" t="str">
        <x:v>Gondia</x:v>
      </x:c>
      <x:c r="C39" t="str">
        <x:v>District</x:v>
      </x:c>
      <x:c r="D39" t="n">
        <x:v>3</x:v>
      </x:c>
      <x:c r="E39" t="n">
        <x:v>0</x:v>
      </x:c>
      <x:c r="F39" t="n">
        <x:v>0</x:v>
      </x:c>
      <x:c r="G39" t="n">
        <x:v>36</x:v>
      </x:c>
      <x:c r="H39" t="n">
        <x:v>30</x:v>
      </x:c>
      <x:c r="I39" t="n">
        <x:v>12</x:v>
      </x:c>
      <x:c r="J39" t="n">
        <x:v>51.2</x:v>
      </x:c>
      <x:c r="K39" t="n">
        <x:v>157.4</x:v>
      </x:c>
      <x:c r="L39" t="n">
        <x:v>99.2</x:v>
      </x:c>
      <x:c r="M39" t="n">
        <x:v>5190</x:v>
      </x:c>
      <x:c r="N39" t="n">
        <x:v>183414</x:v>
      </x:c>
      <x:c r="O39" t="n">
        <x:v>8.2</x:v>
      </x:c>
      <x:c r="P39" t="n">
        <x:v>43.8</x:v>
      </x:c>
      <x:c r="Q39" t="n">
        <x:v>11.9</x:v>
      </x:c>
      <x:c r="R39" t="n">
        <x:v>25595</x:v>
      </x:c>
      <x:c r="S39" t="n">
        <x:v>1.6</x:v>
      </x:c>
      <x:c r="T39" t="n">
        <x:v>7.1</x:v>
      </x:c>
      <x:c r="U39" t="str"/>
    </x:row>
    <x:row r="40">
      <x:c r="A40" t="str">
        <x:v>Chandrapur</x:v>
      </x:c>
      <x:c r="B40" t="str">
        <x:v>Chandrapur</x:v>
      </x:c>
      <x:c r="C40" t="str">
        <x:v>District</x:v>
      </x:c>
      <x:c r="D40" t="n">
        <x:v>2</x:v>
      </x:c>
      <x:c r="E40" t="n">
        <x:v>4.8</x:v>
      </x:c>
      <x:c r="F40" t="n">
        <x:v>2.1</x:v>
      </x:c>
      <x:c r="G40" t="n">
        <x:v>38</x:v>
      </x:c>
      <x:c r="H40" t="n">
        <x:v>18</x:v>
      </x:c>
      <x:c r="I40" t="n">
        <x:v>12</x:v>
      </x:c>
      <x:c r="J40" t="n">
        <x:v>42.3</x:v>
      </x:c>
      <x:c r="K40" t="n">
        <x:v>194.1</x:v>
      </x:c>
      <x:c r="L40" t="n">
        <x:v>330.3</x:v>
      </x:c>
      <x:c r="M40" t="n">
        <x:v>4545</x:v>
      </x:c>
      <x:c r="N40" t="n">
        <x:v>221846</x:v>
      </x:c>
      <x:c r="O40" t="n">
        <x:v>9</x:v>
      </x:c>
      <x:c r="P40" t="n">
        <x:v>42.6</x:v>
      </x:c>
      <x:c r="Q40" t="n">
        <x:v>14.5</x:v>
      </x:c>
      <x:c r="R40" t="n">
        <x:v>29967</x:v>
      </x:c>
      <x:c r="S40" t="n">
        <x:v>1.9</x:v>
      </x:c>
      <x:c r="T40" t="n">
        <x:v>10.5</x:v>
      </x:c>
      <x:c r="U40" t="str"/>
    </x:row>
    <x:row r="41">
      <x:c r="A41" t="str">
        <x:v>Gadchiroli</x:v>
      </x:c>
      <x:c r="B41" t="str">
        <x:v>Gadchiroli</x:v>
      </x:c>
      <x:c r="C41" t="str">
        <x:v>District</x:v>
      </x:c>
      <x:c r="D41" t="n">
        <x:v>1</x:v>
      </x:c>
      <x:c r="E41" t="n">
        <x:v>5.8</x:v>
      </x:c>
      <x:c r="F41" t="n">
        <x:v>1.9</x:v>
      </x:c>
      <x:c r="G41" t="n">
        <x:v>32</x:v>
      </x:c>
      <x:c r="H41" t="n">
        <x:v>20</x:v>
      </x:c>
      <x:c r="I41" t="n">
        <x:v>12</x:v>
      </x:c>
      <x:c r="J41" t="n">
        <x:v>89.4</x:v>
      </x:c>
      <x:c r="K41" t="n">
        <x:v>204.8</x:v>
      </x:c>
      <x:c r="L41" t="n">
        <x:v>66.6</x:v>
      </x:c>
      <x:c r="M41" t="n">
        <x:v>4389</x:v>
      </x:c>
      <x:c r="N41" t="n">
        <x:v>140860</x:v>
      </x:c>
      <x:c r="O41" t="n">
        <x:v>6.6</x:v>
      </x:c>
      <x:c r="P41" t="n">
        <x:v>33.4</x:v>
      </x:c>
      <x:c r="Q41" t="n">
        <x:v>9.4</x:v>
      </x:c>
      <x:c r="R41" t="n">
        <x:v>19817</x:v>
      </x:c>
      <x:c r="S41" t="n">
        <x:v>3.7</x:v>
      </x:c>
      <x:c r="T41" t="n">
        <x:v>15</x:v>
      </x:c>
      <x:c r="U41" t="str"/>
    </x:row>
    <x:row r="42">
      <x:c r="A42" t="str">
        <x:v>Mumbai City PTR and PCI includes Suburban</x:v>
      </x:c>
      <x:c r="B42" t="str"/>
      <x:c r="C42" t="str">
        <x:v>Footnote</x:v>
      </x:c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 t="str">
        <x:v>Source note: Mumbai City PTR and PCI include Suburban</x:v>
      </x:c>
    </x:row>
  </x:sheetData>
  <x:mergeCells>
    <x:mergeCell ref="A1:U1"/>
    <x:mergeCell ref="A2:U2"/>
    <x:mergeCell ref="A3:U3"/>
  </x:mergeCells>
  <x:pageMargins left="0.7" right="0.7" top="0.75" bottom="0.75" header="0.3" footer="0.3"/>
  <x:tableParts count="1">
    <x:tablePart xmlns:r="http://schemas.openxmlformats.org/officeDocument/2006/relationships" r:id="R3b7da009bbfb4415"/>
  </x:tableParts>
</x:worksheet>
</file>

<file path=xl/worksheets/sheet6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48" hidden="0" customWidth="1"/>
  </x:cols>
  <x:sheetData>
    <x:row r="1" ht="36" customHeight="1">
      <x:c r="A1" s="32" t="str">
        <x:v>Maharashtra district census | 1991 / 2001 / 2011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</x:row>
    <x:row r="2" ht="25" customHeight="1">
      <x:c r="A2" s="34" t="str">
        <x:v>Source file: Population &amp; Population Density, Sex Ratio, Literacy Rate For The Year 1991, 2001 &amp; 2011.xls    |    User-supplied upload    |    Cleaned numeric fields; source labels preserved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</x:row>
    <x:row r="3" ht="26" customHeight="1">
      <x:c r="A3" s="46" t="str">
        <x:v>Historical district boundaries and old spellings. This .xls upload contained an HTML table; no data was inferred.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</x:row>
    <x:row r="5" ht="32" customHeight="1">
      <x:c r="A5" s="41" t="str">
        <x:v>District (source)</x:v>
      </x:c>
      <x:c r="B5" s="41" t="str">
        <x:v>District (standard)</x:v>
      </x:c>
      <x:c r="C5" s="41" t="str">
        <x:v>1991 Male</x:v>
      </x:c>
      <x:c r="D5" s="41" t="str">
        <x:v>1991 Female</x:v>
      </x:c>
      <x:c r="E5" s="41" t="str">
        <x:v>1991 Population</x:v>
      </x:c>
      <x:c r="F5" s="41" t="str">
        <x:v>1991 Density</x:v>
      </x:c>
      <x:c r="G5" s="41" t="str">
        <x:v>1991 Sex ratio</x:v>
      </x:c>
      <x:c r="H5" s="41" t="str">
        <x:v>1991 Literacy rate (%)</x:v>
      </x:c>
      <x:c r="I5" s="41" t="str">
        <x:v>2001 Male</x:v>
      </x:c>
      <x:c r="J5" s="41" t="str">
        <x:v>2001 Female</x:v>
      </x:c>
      <x:c r="K5" s="41" t="str">
        <x:v>2001 Population</x:v>
      </x:c>
      <x:c r="L5" s="41" t="str">
        <x:v>2001 Density</x:v>
      </x:c>
      <x:c r="M5" s="41" t="str">
        <x:v>2001 Sex ratio</x:v>
      </x:c>
      <x:c r="N5" s="41" t="str">
        <x:v>2001 Literacy rate (%)</x:v>
      </x:c>
      <x:c r="O5" s="41" t="str">
        <x:v>2011 Male</x:v>
      </x:c>
      <x:c r="P5" s="41" t="str">
        <x:v>2011 Female</x:v>
      </x:c>
      <x:c r="Q5" s="41" t="str">
        <x:v>2011 Population</x:v>
      </x:c>
      <x:c r="R5" s="41" t="str">
        <x:v>2011 Density</x:v>
      </x:c>
      <x:c r="S5" s="41" t="str">
        <x:v>2011 Sex ratio</x:v>
      </x:c>
      <x:c r="T5" s="41" t="str">
        <x:v>2011 Literacy rate (%)</x:v>
      </x:c>
      <x:c r="U5" s="41" t="str">
        <x:v>Notes</x:v>
      </x:c>
    </x:row>
    <x:row r="6">
      <x:c r="A6" t="str">
        <x:v>Nandurbar</x:v>
      </x:c>
      <x:c r="B6" t="str">
        <x:v>Nandurbar</x:v>
      </x:c>
      <x:c r="C6"/>
      <x:c r="D6"/>
      <x:c r="E6"/>
      <x:c r="F6"/>
      <x:c r="G6"/>
      <x:c r="H6"/>
      <x:c r="I6" t="n">
        <x:v>663511</x:v>
      </x:c>
      <x:c r="J6" t="n">
        <x:v>648198</x:v>
      </x:c>
      <x:c r="K6" t="n">
        <x:v>1311709</x:v>
      </x:c>
      <x:c r="L6" t="n">
        <x:v>220</x:v>
      </x:c>
      <x:c r="M6" t="n">
        <x:v>977</x:v>
      </x:c>
      <x:c r="N6" t="n">
        <x:v>56</x:v>
      </x:c>
      <x:c r="O6" t="n">
        <x:v>833170</x:v>
      </x:c>
      <x:c r="P6" t="n">
        <x:v>815125</x:v>
      </x:c>
      <x:c r="Q6" t="n">
        <x:v>1648295</x:v>
      </x:c>
      <x:c r="R6" t="n">
        <x:v>277</x:v>
      </x:c>
      <x:c r="S6" t="n">
        <x:v>978</x:v>
      </x:c>
      <x:c r="T6" t="n">
        <x:v>64</x:v>
      </x:c>
      <x:c r="U6" t="str"/>
    </x:row>
    <x:row r="7">
      <x:c r="A7" t="str">
        <x:v>Dhule</x:v>
      </x:c>
      <x:c r="B7" t="str">
        <x:v>Dhule</x:v>
      </x:c>
      <x:c r="C7" t="n">
        <x:v>1295288</x:v>
      </x:c>
      <x:c r="D7" t="n">
        <x:v>1240427</x:v>
      </x:c>
      <x:c r="E7" t="n">
        <x:v>2535715</x:v>
      </x:c>
      <x:c r="F7" t="n">
        <x:v>352</x:v>
      </x:c>
      <x:c r="G7" t="n">
        <x:v>958</x:v>
      </x:c>
      <x:c r="H7" t="n">
        <x:v>51</x:v>
      </x:c>
      <x:c r="I7" t="n">
        <x:v>878372</x:v>
      </x:c>
      <x:c r="J7" t="n">
        <x:v>829575</x:v>
      </x:c>
      <x:c r="K7" t="n">
        <x:v>1707947</x:v>
      </x:c>
      <x:c r="L7" t="n">
        <x:v>237</x:v>
      </x:c>
      <x:c r="M7" t="n">
        <x:v>944</x:v>
      </x:c>
      <x:c r="N7" t="n">
        <x:v>72</x:v>
      </x:c>
      <x:c r="O7" t="n">
        <x:v>1054031</x:v>
      </x:c>
      <x:c r="P7" t="n">
        <x:v>996831</x:v>
      </x:c>
      <x:c r="Q7" t="n">
        <x:v>2050862</x:v>
      </x:c>
      <x:c r="R7" t="n">
        <x:v>285</x:v>
      </x:c>
      <x:c r="S7" t="n">
        <x:v>946</x:v>
      </x:c>
      <x:c r="T7" t="n">
        <x:v>73</x:v>
      </x:c>
      <x:c r="U7" t="str"/>
    </x:row>
    <x:row r="8">
      <x:c r="A8" t="str">
        <x:v>Jalgaon</x:v>
      </x:c>
      <x:c r="B8" t="str">
        <x:v>Jalgaon</x:v>
      </x:c>
      <x:c r="C8" t="n">
        <x:v>1642873</x:v>
      </x:c>
      <x:c r="D8" t="n">
        <x:v>1544761</x:v>
      </x:c>
      <x:c r="E8" t="n">
        <x:v>3187634</x:v>
      </x:c>
      <x:c r="F8" t="n">
        <x:v>271</x:v>
      </x:c>
      <x:c r="G8" t="n">
        <x:v>940</x:v>
      </x:c>
      <x:c r="H8" t="n">
        <x:v>64</x:v>
      </x:c>
      <x:c r="I8" t="n">
        <x:v>1905493</x:v>
      </x:c>
      <x:c r="J8" t="n">
        <x:v>1777197</x:v>
      </x:c>
      <x:c r="K8" t="n">
        <x:v>3682690</x:v>
      </x:c>
      <x:c r="L8" t="n">
        <x:v>313</x:v>
      </x:c>
      <x:c r="M8" t="n">
        <x:v>933</x:v>
      </x:c>
      <x:c r="N8" t="n">
        <x:v>75</x:v>
      </x:c>
      <x:c r="O8" t="n">
        <x:v>2197365</x:v>
      </x:c>
      <x:c r="P8" t="n">
        <x:v>2032552</x:v>
      </x:c>
      <x:c r="Q8" t="n">
        <x:v>4229917</x:v>
      </x:c>
      <x:c r="R8" t="n">
        <x:v>360</x:v>
      </x:c>
      <x:c r="S8" t="n">
        <x:v>925</x:v>
      </x:c>
      <x:c r="T8" t="n">
        <x:v>78</x:v>
      </x:c>
      <x:c r="U8" t="str"/>
    </x:row>
    <x:row r="9">
      <x:c r="A9" t="str">
        <x:v>Buldana</x:v>
      </x:c>
      <x:c r="B9" t="str">
        <x:v>Buldhana</x:v>
      </x:c>
      <x:c r="C9" t="n">
        <x:v>966017</x:v>
      </x:c>
      <x:c r="D9" t="n">
        <x:v>920282</x:v>
      </x:c>
      <x:c r="E9" t="n">
        <x:v>1886299</x:v>
      </x:c>
      <x:c r="F9" t="n">
        <x:v>195</x:v>
      </x:c>
      <x:c r="G9" t="n">
        <x:v>953</x:v>
      </x:c>
      <x:c r="H9" t="n">
        <x:v>62</x:v>
      </x:c>
      <x:c r="I9" t="n">
        <x:v>1147403</x:v>
      </x:c>
      <x:c r="J9" t="n">
        <x:v>1085077</x:v>
      </x:c>
      <x:c r="K9" t="n">
        <x:v>2232480</x:v>
      </x:c>
      <x:c r="L9" t="n">
        <x:v>231</x:v>
      </x:c>
      <x:c r="M9" t="n">
        <x:v>946</x:v>
      </x:c>
      <x:c r="N9" t="n">
        <x:v>76</x:v>
      </x:c>
      <x:c r="O9" t="n">
        <x:v>1337560</x:v>
      </x:c>
      <x:c r="P9" t="n">
        <x:v>1248698</x:v>
      </x:c>
      <x:c r="Q9" t="n">
        <x:v>2586258</x:v>
      </x:c>
      <x:c r="R9" t="n">
        <x:v>268</x:v>
      </x:c>
      <x:c r="S9" t="n">
        <x:v>934</x:v>
      </x:c>
      <x:c r="T9" t="n">
        <x:v>83</x:v>
      </x:c>
      <x:c r="U9" t="str"/>
    </x:row>
    <x:row r="10">
      <x:c r="A10" t="str">
        <x:v>Akola</x:v>
      </x:c>
      <x:c r="B10" t="str">
        <x:v>Akola</x:v>
      </x:c>
      <x:c r="C10" t="n">
        <x:v>1142148</x:v>
      </x:c>
      <x:c r="D10" t="n">
        <x:v>1072123</x:v>
      </x:c>
      <x:c r="E10" t="n">
        <x:v>2214271</x:v>
      </x:c>
      <x:c r="F10" t="n">
        <x:v>390</x:v>
      </x:c>
      <x:c r="G10" t="n">
        <x:v>939</x:v>
      </x:c>
      <x:c r="H10" t="n">
        <x:v>66</x:v>
      </x:c>
      <x:c r="I10" t="n">
        <x:v>841253</x:v>
      </x:c>
      <x:c r="J10" t="n">
        <x:v>788986</x:v>
      </x:c>
      <x:c r="K10" t="n">
        <x:v>1630239</x:v>
      </x:c>
      <x:c r="L10" t="n">
        <x:v>287</x:v>
      </x:c>
      <x:c r="M10" t="n">
        <x:v>938</x:v>
      </x:c>
      <x:c r="N10" t="n">
        <x:v>81</x:v>
      </x:c>
      <x:c r="O10" t="n">
        <x:v>932334</x:v>
      </x:c>
      <x:c r="P10" t="n">
        <x:v>881572</x:v>
      </x:c>
      <x:c r="Q10" t="n">
        <x:v>1813906</x:v>
      </x:c>
      <x:c r="R10" t="n">
        <x:v>320</x:v>
      </x:c>
      <x:c r="S10" t="n">
        <x:v>946</x:v>
      </x:c>
      <x:c r="T10" t="n">
        <x:v>88</x:v>
      </x:c>
      <x:c r="U10" t="str"/>
    </x:row>
    <x:row r="11">
      <x:c r="A11" t="str">
        <x:v>Washim</x:v>
      </x:c>
      <x:c r="B11" t="str">
        <x:v>Washim</x:v>
      </x:c>
      <x:c r="C11"/>
      <x:c r="D11"/>
      <x:c r="E11"/>
      <x:c r="F11"/>
      <x:c r="G11"/>
      <x:c r="H11"/>
      <x:c r="I11" t="n">
        <x:v>526094</x:v>
      </x:c>
      <x:c r="J11" t="n">
        <x:v>494122</x:v>
      </x:c>
      <x:c r="K11" t="n">
        <x:v>1020216</x:v>
      </x:c>
      <x:c r="L11" t="n">
        <x:v>208</x:v>
      </x:c>
      <x:c r="M11" t="n">
        <x:v>939</x:v>
      </x:c>
      <x:c r="N11" t="n">
        <x:v>73</x:v>
      </x:c>
      <x:c r="O11" t="n">
        <x:v>620302</x:v>
      </x:c>
      <x:c r="P11" t="n">
        <x:v>576858</x:v>
      </x:c>
      <x:c r="Q11" t="n">
        <x:v>1197160</x:v>
      </x:c>
      <x:c r="R11" t="n">
        <x:v>244</x:v>
      </x:c>
      <x:c r="S11" t="n">
        <x:v>930</x:v>
      </x:c>
      <x:c r="T11" t="n">
        <x:v>83</x:v>
      </x:c>
      <x:c r="U11" t="str"/>
    </x:row>
    <x:row r="12">
      <x:c r="A12" t="str">
        <x:v>Amravati</x:v>
      </x:c>
      <x:c r="B12" t="str">
        <x:v>Amravati</x:v>
      </x:c>
      <x:c r="C12" t="n">
        <x:v>1136314</x:v>
      </x:c>
      <x:c r="D12" t="n">
        <x:v>1063743</x:v>
      </x:c>
      <x:c r="E12" t="n">
        <x:v>2200057</x:v>
      </x:c>
      <x:c r="F12" t="n">
        <x:v>180</x:v>
      </x:c>
      <x:c r="G12" t="n">
        <x:v>936</x:v>
      </x:c>
      <x:c r="H12" t="n">
        <x:v>70</x:v>
      </x:c>
      <x:c r="I12" t="n">
        <x:v>1345614</x:v>
      </x:c>
      <x:c r="J12" t="n">
        <x:v>1261546</x:v>
      </x:c>
      <x:c r="K12" t="n">
        <x:v>2607160</x:v>
      </x:c>
      <x:c r="L12" t="n">
        <x:v>214</x:v>
      </x:c>
      <x:c r="M12" t="n">
        <x:v>938</x:v>
      </x:c>
      <x:c r="N12" t="n">
        <x:v>83</x:v>
      </x:c>
      <x:c r="O12" t="n">
        <x:v>1480768</x:v>
      </x:c>
      <x:c r="P12" t="n">
        <x:v>1407677</x:v>
      </x:c>
      <x:c r="Q12" t="n">
        <x:v>2888445</x:v>
      </x:c>
      <x:c r="R12" t="n">
        <x:v>237</x:v>
      </x:c>
      <x:c r="S12" t="n">
        <x:v>951</x:v>
      </x:c>
      <x:c r="T12" t="n">
        <x:v>87</x:v>
      </x:c>
      <x:c r="U12" t="str"/>
    </x:row>
    <x:row r="13">
      <x:c r="A13" t="str">
        <x:v>Wardha</x:v>
      </x:c>
      <x:c r="B13" t="str">
        <x:v>Wardha</x:v>
      </x:c>
      <x:c r="C13" t="n">
        <x:v>550370</x:v>
      </x:c>
      <x:c r="D13" t="n">
        <x:v>516987</x:v>
      </x:c>
      <x:c r="E13" t="n">
        <x:v>1067357</x:v>
      </x:c>
      <x:c r="F13" t="n">
        <x:v>169</x:v>
      </x:c>
      <x:c r="G13" t="n">
        <x:v>939</x:v>
      </x:c>
      <x:c r="H13" t="n">
        <x:v>70</x:v>
      </x:c>
      <x:c r="I13" t="n">
        <x:v>638990</x:v>
      </x:c>
      <x:c r="J13" t="n">
        <x:v>597746</x:v>
      </x:c>
      <x:c r="K13" t="n">
        <x:v>1236736</x:v>
      </x:c>
      <x:c r="L13" t="n">
        <x:v>196</x:v>
      </x:c>
      <x:c r="M13" t="n">
        <x:v>935</x:v>
      </x:c>
      <x:c r="N13" t="n">
        <x:v>80</x:v>
      </x:c>
      <x:c r="O13" t="n">
        <x:v>668385</x:v>
      </x:c>
      <x:c r="P13" t="n">
        <x:v>632389</x:v>
      </x:c>
      <x:c r="Q13" t="n">
        <x:v>1300774</x:v>
      </x:c>
      <x:c r="R13" t="n">
        <x:v>206</x:v>
      </x:c>
      <x:c r="S13" t="n">
        <x:v>946</x:v>
      </x:c>
      <x:c r="T13" t="n">
        <x:v>87</x:v>
      </x:c>
      <x:c r="U13" t="str"/>
    </x:row>
    <x:row r="14">
      <x:c r="A14" t="str">
        <x:v>Nagpur</x:v>
      </x:c>
      <x:c r="B14" t="str">
        <x:v>Nagpur</x:v>
      </x:c>
      <x:c r="C14" t="n">
        <x:v>1710404</x:v>
      </x:c>
      <x:c r="D14" t="n">
        <x:v>1576735</x:v>
      </x:c>
      <x:c r="E14" t="n">
        <x:v>3287139</x:v>
      </x:c>
      <x:c r="F14" t="n">
        <x:v>332</x:v>
      </x:c>
      <x:c r="G14" t="n">
        <x:v>922</x:v>
      </x:c>
      <x:c r="H14" t="n">
        <x:v>74</x:v>
      </x:c>
      <x:c r="I14" t="n">
        <x:v>2105314</x:v>
      </x:c>
      <x:c r="J14" t="n">
        <x:v>1962323</x:v>
      </x:c>
      <x:c r="K14" t="n">
        <x:v>4067637</x:v>
      </x:c>
      <x:c r="L14" t="n">
        <x:v>411</x:v>
      </x:c>
      <x:c r="M14" t="n">
        <x:v>932</x:v>
      </x:c>
      <x:c r="N14" t="n">
        <x:v>84</x:v>
      </x:c>
      <x:c r="O14" t="n">
        <x:v>2384975</x:v>
      </x:c>
      <x:c r="P14" t="n">
        <x:v>2268595</x:v>
      </x:c>
      <x:c r="Q14" t="n">
        <x:v>4653570</x:v>
      </x:c>
      <x:c r="R14" t="n">
        <x:v>470</x:v>
      </x:c>
      <x:c r="S14" t="n">
        <x:v>951</x:v>
      </x:c>
      <x:c r="T14" t="n">
        <x:v>88</x:v>
      </x:c>
      <x:c r="U14" t="str"/>
    </x:row>
    <x:row r="15">
      <x:c r="A15" t="str">
        <x:v>Bhandara</x:v>
      </x:c>
      <x:c r="B15" t="str">
        <x:v>Bhandara</x:v>
      </x:c>
      <x:c r="C15" t="n">
        <x:v>1060275</x:v>
      </x:c>
      <x:c r="D15" t="n">
        <x:v>1047354</x:v>
      </x:c>
      <x:c r="E15" t="n">
        <x:v>2107629</x:v>
      </x:c>
      <x:c r="F15" t="n">
        <x:v>516</x:v>
      </x:c>
      <x:c r="G15" t="n">
        <x:v>988</x:v>
      </x:c>
      <x:c r="H15" t="n">
        <x:v>65</x:v>
      </x:c>
      <x:c r="I15" t="n">
        <x:v>573445</x:v>
      </x:c>
      <x:c r="J15" t="n">
        <x:v>562701</x:v>
      </x:c>
      <x:c r="K15" t="n">
        <x:v>1136146</x:v>
      </x:c>
      <x:c r="L15" t="n">
        <x:v>278</x:v>
      </x:c>
      <x:c r="M15" t="n">
        <x:v>981</x:v>
      </x:c>
      <x:c r="N15" t="n">
        <x:v>78</x:v>
      </x:c>
      <x:c r="O15" t="n">
        <x:v>605520</x:v>
      </x:c>
      <x:c r="P15" t="n">
        <x:v>594814</x:v>
      </x:c>
      <x:c r="Q15" t="n">
        <x:v>1200334</x:v>
      </x:c>
      <x:c r="R15" t="n">
        <x:v>294</x:v>
      </x:c>
      <x:c r="S15" t="n">
        <x:v>982</x:v>
      </x:c>
      <x:c r="T15" t="n">
        <x:v>84</x:v>
      </x:c>
      <x:c r="U15" t="str"/>
    </x:row>
    <x:row r="16">
      <x:c r="A16" t="str">
        <x:v>Gondiya</x:v>
      </x:c>
      <x:c r="B16" t="str">
        <x:v>Gondia</x:v>
      </x:c>
      <x:c r="C16"/>
      <x:c r="D16"/>
      <x:c r="E16"/>
      <x:c r="F16"/>
      <x:c r="G16"/>
      <x:c r="H16"/>
      <x:c r="I16" t="n">
        <x:v>598834</x:v>
      </x:c>
      <x:c r="J16" t="n">
        <x:v>601873</x:v>
      </x:c>
      <x:c r="K16" t="n">
        <x:v>1200707</x:v>
      </x:c>
      <x:c r="L16" t="n">
        <x:v>229</x:v>
      </x:c>
      <x:c r="M16" t="n">
        <x:v>1005</x:v>
      </x:c>
      <x:c r="N16" t="n">
        <x:v>79</x:v>
      </x:c>
      <x:c r="O16" t="n">
        <x:v>661554</x:v>
      </x:c>
      <x:c r="P16" t="n">
        <x:v>660953</x:v>
      </x:c>
      <x:c r="Q16" t="n">
        <x:v>1322507</x:v>
      </x:c>
      <x:c r="R16" t="n">
        <x:v>253</x:v>
      </x:c>
      <x:c r="S16" t="n">
        <x:v>999</x:v>
      </x:c>
      <x:c r="T16" t="n">
        <x:v>85</x:v>
      </x:c>
      <x:c r="U16" t="str"/>
    </x:row>
    <x:row r="17">
      <x:c r="A17" t="str">
        <x:v>Gadchiroli</x:v>
      </x:c>
      <x:c r="B17" t="str">
        <x:v>Gadchiroli</x:v>
      </x:c>
      <x:c r="C17" t="n">
        <x:v>398364</x:v>
      </x:c>
      <x:c r="D17" t="n">
        <x:v>388646</x:v>
      </x:c>
      <x:c r="E17" t="n">
        <x:v>787010</x:v>
      </x:c>
      <x:c r="F17" t="n">
        <x:v>55</x:v>
      </x:c>
      <x:c r="G17" t="n">
        <x:v>976</x:v>
      </x:c>
      <x:c r="H17" t="n">
        <x:v>43</x:v>
      </x:c>
      <x:c r="I17" t="n">
        <x:v>491101</x:v>
      </x:c>
      <x:c r="J17" t="n">
        <x:v>479193</x:v>
      </x:c>
      <x:c r="K17" t="n">
        <x:v>970294</x:v>
      </x:c>
      <x:c r="L17" t="n">
        <x:v>67</x:v>
      </x:c>
      <x:c r="M17" t="n">
        <x:v>976</x:v>
      </x:c>
      <x:c r="N17" t="n">
        <x:v>60</x:v>
      </x:c>
      <x:c r="O17" t="n">
        <x:v>541328</x:v>
      </x:c>
      <x:c r="P17" t="n">
        <x:v>531614</x:v>
      </x:c>
      <x:c r="Q17" t="n">
        <x:v>1072942</x:v>
      </x:c>
      <x:c r="R17" t="n">
        <x:v>74</x:v>
      </x:c>
      <x:c r="S17" t="n">
        <x:v>982</x:v>
      </x:c>
      <x:c r="T17" t="n">
        <x:v>74</x:v>
      </x:c>
      <x:c r="U17" t="str"/>
    </x:row>
    <x:row r="18">
      <x:c r="A18" t="str">
        <x:v>Chandrapur</x:v>
      </x:c>
      <x:c r="B18" t="str">
        <x:v>Chandrapur</x:v>
      </x:c>
      <x:c r="C18" t="n">
        <x:v>909787</x:v>
      </x:c>
      <x:c r="D18" t="n">
        <x:v>862207</x:v>
      </x:c>
      <x:c r="E18" t="n">
        <x:v>1771994</x:v>
      </x:c>
      <x:c r="F18" t="n">
        <x:v>155</x:v>
      </x:c>
      <x:c r="G18" t="n">
        <x:v>948</x:v>
      </x:c>
      <x:c r="H18" t="n">
        <x:v>59</x:v>
      </x:c>
      <x:c r="I18" t="n">
        <x:v>1062993</x:v>
      </x:c>
      <x:c r="J18" t="n">
        <x:v>1008108</x:v>
      </x:c>
      <x:c r="K18" t="n">
        <x:v>2071101</x:v>
      </x:c>
      <x:c r="L18" t="n">
        <x:v>181</x:v>
      </x:c>
      <x:c r="M18" t="n">
        <x:v>948</x:v>
      </x:c>
      <x:c r="N18" t="n">
        <x:v>73</x:v>
      </x:c>
      <x:c r="O18" t="n">
        <x:v>1123834</x:v>
      </x:c>
      <x:c r="P18" t="n">
        <x:v>1080473</x:v>
      </x:c>
      <x:c r="Q18" t="n">
        <x:v>2204307</x:v>
      </x:c>
      <x:c r="R18" t="n">
        <x:v>193</x:v>
      </x:c>
      <x:c r="S18" t="n">
        <x:v>961</x:v>
      </x:c>
      <x:c r="T18" t="n">
        <x:v>80</x:v>
      </x:c>
      <x:c r="U18" t="str"/>
    </x:row>
    <x:row r="19">
      <x:c r="A19" t="str">
        <x:v>Yavatmal</x:v>
      </x:c>
      <x:c r="B19" t="str">
        <x:v>Yavatmal</x:v>
      </x:c>
      <x:c r="C19" t="n">
        <x:v>1064422</x:v>
      </x:c>
      <x:c r="D19" t="n">
        <x:v>1012722</x:v>
      </x:c>
      <x:c r="E19" t="n">
        <x:v>2077144</x:v>
      </x:c>
      <x:c r="F19" t="n">
        <x:v>153</x:v>
      </x:c>
      <x:c r="G19" t="n">
        <x:v>951</x:v>
      </x:c>
      <x:c r="H19" t="n">
        <x:v>58</x:v>
      </x:c>
      <x:c r="I19" t="n">
        <x:v>1265681</x:v>
      </x:c>
      <x:c r="J19" t="n">
        <x:v>1192590</x:v>
      </x:c>
      <x:c r="K19" t="n">
        <x:v>2458271</x:v>
      </x:c>
      <x:c r="L19" t="n">
        <x:v>181</x:v>
      </x:c>
      <x:c r="M19" t="n">
        <x:v>942</x:v>
      </x:c>
      <x:c r="N19" t="n">
        <x:v>74</x:v>
      </x:c>
      <x:c r="O19" t="n">
        <x:v>1419965</x:v>
      </x:c>
      <x:c r="P19" t="n">
        <x:v>1352383</x:v>
      </x:c>
      <x:c r="Q19" t="n">
        <x:v>2772348</x:v>
      </x:c>
      <x:c r="R19" t="n">
        <x:v>204</x:v>
      </x:c>
      <x:c r="S19" t="n">
        <x:v>952</x:v>
      </x:c>
      <x:c r="T19" t="n">
        <x:v>83</x:v>
      </x:c>
      <x:c r="U19" t="str"/>
    </x:row>
    <x:row r="20">
      <x:c r="A20" t="str">
        <x:v>Nanden</x:v>
      </x:c>
      <x:c r="B20" t="str">
        <x:v>Nanded</x:v>
      </x:c>
      <x:c r="C20" t="n">
        <x:v>1197876</x:v>
      </x:c>
      <x:c r="D20" t="n">
        <x:v>1132498</x:v>
      </x:c>
      <x:c r="E20" t="n">
        <x:v>2330374</x:v>
      </x:c>
      <x:c r="F20" t="n">
        <x:v>221</x:v>
      </x:c>
      <x:c r="G20" t="n">
        <x:v>945</x:v>
      </x:c>
      <x:c r="H20" t="n">
        <x:v>48</x:v>
      </x:c>
      <x:c r="I20" t="n">
        <x:v>1481358</x:v>
      </x:c>
      <x:c r="J20" t="n">
        <x:v>1394901</x:v>
      </x:c>
      <x:c r="K20" t="n">
        <x:v>2876259</x:v>
      </x:c>
      <x:c r="L20" t="n">
        <x:v>273</x:v>
      </x:c>
      <x:c r="M20" t="n">
        <x:v>942</x:v>
      </x:c>
      <x:c r="N20" t="n">
        <x:v>68</x:v>
      </x:c>
      <x:c r="O20" t="n">
        <x:v>1730075</x:v>
      </x:c>
      <x:c r="P20" t="n">
        <x:v>1631217</x:v>
      </x:c>
      <x:c r="Q20" t="n">
        <x:v>3361292</x:v>
      </x:c>
      <x:c r="R20" t="n">
        <x:v>319</x:v>
      </x:c>
      <x:c r="S20" t="n">
        <x:v>943</x:v>
      </x:c>
      <x:c r="T20" t="n">
        <x:v>75</x:v>
      </x:c>
      <x:c r="U20" t="str"/>
    </x:row>
    <x:row r="21">
      <x:c r="A21" t="str">
        <x:v>Hingoli</x:v>
      </x:c>
      <x:c r="B21" t="str">
        <x:v>Hingoli</x:v>
      </x:c>
      <x:c r="C21"/>
      <x:c r="D21"/>
      <x:c r="E21"/>
      <x:c r="F21"/>
      <x:c r="G21"/>
      <x:c r="H21"/>
      <x:c r="I21" t="n">
        <x:v>505373</x:v>
      </x:c>
      <x:c r="J21" t="n">
        <x:v>481787</x:v>
      </x:c>
      <x:c r="K21" t="n">
        <x:v>987160</x:v>
      </x:c>
      <x:c r="L21" t="n">
        <x:v>205</x:v>
      </x:c>
      <x:c r="M21" t="n">
        <x:v>953</x:v>
      </x:c>
      <x:c r="N21" t="n">
        <x:v>66</x:v>
      </x:c>
      <x:c r="O21" t="n">
        <x:v>606294</x:v>
      </x:c>
      <x:c r="P21" t="n">
        <x:v>571051</x:v>
      </x:c>
      <x:c r="Q21" t="n">
        <x:v>1177345</x:v>
      </x:c>
      <x:c r="R21" t="n">
        <x:v>244</x:v>
      </x:c>
      <x:c r="S21" t="n">
        <x:v>942</x:v>
      </x:c>
      <x:c r="T21" t="n">
        <x:v>78</x:v>
      </x:c>
      <x:c r="U21" t="str"/>
    </x:row>
    <x:row r="22">
      <x:c r="A22" t="str">
        <x:v>Parbhani</x:v>
      </x:c>
      <x:c r="B22" t="str">
        <x:v>Parbhani</x:v>
      </x:c>
      <x:c r="C22" t="n">
        <x:v>1083794</x:v>
      </x:c>
      <x:c r="D22" t="n">
        <x:v>1033241</x:v>
      </x:c>
      <x:c r="E22" t="n">
        <x:v>2117035</x:v>
      </x:c>
      <x:c r="F22" t="n">
        <x:v>341</x:v>
      </x:c>
      <x:c r="G22" t="n">
        <x:v>953</x:v>
      </x:c>
      <x:c r="H22" t="n">
        <x:v>48</x:v>
      </x:c>
      <x:c r="I22" t="n">
        <x:v>780191</x:v>
      </x:c>
      <x:c r="J22" t="n">
        <x:v>747524</x:v>
      </x:c>
      <x:c r="K22" t="n">
        <x:v>1527715</x:v>
      </x:c>
      <x:c r="L22" t="n">
        <x:v>246</x:v>
      </x:c>
      <x:c r="M22" t="n">
        <x:v>958</x:v>
      </x:c>
      <x:c r="N22" t="n">
        <x:v>66</x:v>
      </x:c>
      <x:c r="O22" t="n">
        <x:v>942870</x:v>
      </x:c>
      <x:c r="P22" t="n">
        <x:v>893216</x:v>
      </x:c>
      <x:c r="Q22" t="n">
        <x:v>1836086</x:v>
      </x:c>
      <x:c r="R22" t="n">
        <x:v>295</x:v>
      </x:c>
      <x:c r="S22" t="n">
        <x:v>947</x:v>
      </x:c>
      <x:c r="T22" t="n">
        <x:v>73</x:v>
      </x:c>
      <x:c r="U22" t="str"/>
    </x:row>
    <x:row r="23">
      <x:c r="A23" t="str">
        <x:v>Jalna</x:v>
      </x:c>
      <x:c r="B23" t="str">
        <x:v>Jalna</x:v>
      </x:c>
      <x:c r="C23" t="n">
        <x:v>696798</x:v>
      </x:c>
      <x:c r="D23" t="n">
        <x:v>667627</x:v>
      </x:c>
      <x:c r="E23" t="n">
        <x:v>1364425</x:v>
      </x:c>
      <x:c r="F23" t="n">
        <x:v>177</x:v>
      </x:c>
      <x:c r="G23" t="n">
        <x:v>958</x:v>
      </x:c>
      <x:c r="H23" t="n">
        <x:v>46</x:v>
      </x:c>
      <x:c r="I23" t="n">
        <x:v>826903</x:v>
      </x:c>
      <x:c r="J23" t="n">
        <x:v>786077</x:v>
      </x:c>
      <x:c r="K23" t="n">
        <x:v>1612980</x:v>
      </x:c>
      <x:c r="L23" t="n">
        <x:v>210</x:v>
      </x:c>
      <x:c r="M23" t="n">
        <x:v>951</x:v>
      </x:c>
      <x:c r="N23" t="n">
        <x:v>64</x:v>
      </x:c>
      <x:c r="O23" t="n">
        <x:v>1011473</x:v>
      </x:c>
      <x:c r="P23" t="n">
        <x:v>947573</x:v>
      </x:c>
      <x:c r="Q23" t="n">
        <x:v>1959046</x:v>
      </x:c>
      <x:c r="R23" t="n">
        <x:v>255</x:v>
      </x:c>
      <x:c r="S23" t="n">
        <x:v>937</x:v>
      </x:c>
      <x:c r="T23" t="n">
        <x:v>72</x:v>
      </x:c>
      <x:c r="U23" t="str"/>
    </x:row>
    <x:row r="24">
      <x:c r="A24" t="str">
        <x:v>Aurangabad</x:v>
      </x:c>
      <x:c r="B24" t="str">
        <x:v>Chhatrapati Sambhajinagar</x:v>
      </x:c>
      <x:c r="C24" t="n">
        <x:v>1151693</x:v>
      </x:c>
      <x:c r="D24" t="n">
        <x:v>1062086</x:v>
      </x:c>
      <x:c r="E24" t="n">
        <x:v>2213779</x:v>
      </x:c>
      <x:c r="F24" t="n">
        <x:v>218</x:v>
      </x:c>
      <x:c r="G24" t="n">
        <x:v>922</x:v>
      </x:c>
      <x:c r="H24" t="n">
        <x:v>57</x:v>
      </x:c>
      <x:c r="I24" t="n">
        <x:v>1505363</x:v>
      </x:c>
      <x:c r="J24" t="n">
        <x:v>1391650</x:v>
      </x:c>
      <x:c r="K24" t="n">
        <x:v>2897013</x:v>
      </x:c>
      <x:c r="L24" t="n">
        <x:v>286</x:v>
      </x:c>
      <x:c r="M24" t="n">
        <x:v>924</x:v>
      </x:c>
      <x:c r="N24" t="n">
        <x:v>73</x:v>
      </x:c>
      <x:c r="O24" t="n">
        <x:v>1924469</x:v>
      </x:c>
      <x:c r="P24" t="n">
        <x:v>1776813</x:v>
      </x:c>
      <x:c r="Q24" t="n">
        <x:v>3701282</x:v>
      </x:c>
      <x:c r="R24" t="n">
        <x:v>365</x:v>
      </x:c>
      <x:c r="S24" t="n">
        <x:v>923</x:v>
      </x:c>
      <x:c r="T24" t="n">
        <x:v>79</x:v>
      </x:c>
      <x:c r="U24" t="str"/>
    </x:row>
    <x:row r="25">
      <x:c r="A25" t="str">
        <x:v>Nashik</x:v>
      </x:c>
      <x:c r="B25" t="str">
        <x:v>Nashik</x:v>
      </x:c>
      <x:c r="C25" t="n">
        <x:v>1984973</x:v>
      </x:c>
      <x:c r="D25" t="n">
        <x:v>1866379</x:v>
      </x:c>
      <x:c r="E25" t="n">
        <x:v>3851352</x:v>
      </x:c>
      <x:c r="F25" t="n">
        <x:v>248</x:v>
      </x:c>
      <x:c r="G25" t="n">
        <x:v>940</x:v>
      </x:c>
      <x:c r="H25" t="n">
        <x:v>62</x:v>
      </x:c>
      <x:c r="I25" t="n">
        <x:v>2590912</x:v>
      </x:c>
      <x:c r="J25" t="n">
        <x:v>2402884</x:v>
      </x:c>
      <x:c r="K25" t="n">
        <x:v>4993796</x:v>
      </x:c>
      <x:c r="L25" t="n">
        <x:v>322</x:v>
      </x:c>
      <x:c r="M25" t="n">
        <x:v>927</x:v>
      </x:c>
      <x:c r="N25" t="n">
        <x:v>74</x:v>
      </x:c>
      <x:c r="O25" t="n">
        <x:v>3157186</x:v>
      </x:c>
      <x:c r="P25" t="n">
        <x:v>2950001</x:v>
      </x:c>
      <x:c r="Q25" t="n">
        <x:v>6107187</x:v>
      </x:c>
      <x:c r="R25" t="n">
        <x:v>393</x:v>
      </x:c>
      <x:c r="S25" t="n">
        <x:v>934</x:v>
      </x:c>
      <x:c r="T25" t="n">
        <x:v>82</x:v>
      </x:c>
      <x:c r="U25" t="str"/>
    </x:row>
    <x:row r="26">
      <x:c r="A26" t="str">
        <x:v>Thane</x:v>
      </x:c>
      <x:c r="B26" t="str">
        <x:v>Thane</x:v>
      </x:c>
      <x:c r="C26" t="n">
        <x:v>2792874</x:v>
      </x:c>
      <x:c r="D26" t="n">
        <x:v>2456252</x:v>
      </x:c>
      <x:c r="E26" t="n">
        <x:v>5249126</x:v>
      </x:c>
      <x:c r="F26" t="n">
        <x:v>549</x:v>
      </x:c>
      <x:c r="G26" t="n">
        <x:v>879</x:v>
      </x:c>
      <x:c r="H26" t="n">
        <x:v>70</x:v>
      </x:c>
      <x:c r="I26" t="n">
        <x:v>4377747</x:v>
      </x:c>
      <x:c r="J26" t="n">
        <x:v>3754102</x:v>
      </x:c>
      <x:c r="K26" t="n">
        <x:v>8131849</x:v>
      </x:c>
      <x:c r="L26" t="n">
        <x:v>851</x:v>
      </x:c>
      <x:c r="M26" t="n">
        <x:v>858</x:v>
      </x:c>
      <x:c r="N26" t="n">
        <x:v>81</x:v>
      </x:c>
      <x:c r="O26" t="n">
        <x:v>5865078</x:v>
      </x:c>
      <x:c r="P26" t="n">
        <x:v>5195070</x:v>
      </x:c>
      <x:c r="Q26" t="n">
        <x:v>11060148</x:v>
      </x:c>
      <x:c r="R26" t="n">
        <x:v>1157</x:v>
      </x:c>
      <x:c r="S26" t="n">
        <x:v>886</x:v>
      </x:c>
      <x:c r="T26" t="n">
        <x:v>85</x:v>
      </x:c>
      <x:c r="U26" t="str">
        <x:v>2011 boundaries: Thane population includes territory later separated as Palghar</x:v>
      </x:c>
    </x:row>
    <x:row r="27">
      <x:c r="A27" t="str">
        <x:v>Mumbai Suburban</x:v>
      </x:c>
      <x:c r="B27" t="str">
        <x:v>Mumbai Suburban</x:v>
      </x:c>
      <x:c r="C27"/>
      <x:c r="D27"/>
      <x:c r="E27"/>
      <x:c r="F27"/>
      <x:c r="G27"/>
      <x:c r="H27"/>
      <x:c r="I27" t="n">
        <x:v>4741720</x:v>
      </x:c>
      <x:c r="J27" t="n">
        <x:v>3898699</x:v>
      </x:c>
      <x:c r="K27" t="n">
        <x:v>8640419</x:v>
      </x:c>
      <x:c r="L27" t="n">
        <x:v>19373</x:v>
      </x:c>
      <x:c r="M27" t="n">
        <x:v>822</x:v>
      </x:c>
      <x:c r="N27" t="n">
        <x:v>87</x:v>
      </x:c>
      <x:c r="O27" t="n">
        <x:v>5031323</x:v>
      </x:c>
      <x:c r="P27" t="n">
        <x:v>4325639</x:v>
      </x:c>
      <x:c r="Q27" t="n">
        <x:v>9356962</x:v>
      </x:c>
      <x:c r="R27" t="n">
        <x:v>20980</x:v>
      </x:c>
      <x:c r="S27" t="n">
        <x:v>860</x:v>
      </x:c>
      <x:c r="T27" t="n">
        <x:v>90</x:v>
      </x:c>
      <x:c r="U27" t="str"/>
    </x:row>
    <x:row r="28">
      <x:c r="A28" t="str">
        <x:v>Mumbai</x:v>
      </x:c>
      <x:c r="B28" t="str">
        <x:v>Mumbai City</x:v>
      </x:c>
      <x:c r="C28" t="n">
        <x:v>5460145</x:v>
      </x:c>
      <x:c r="D28" t="n">
        <x:v>4465746</x:v>
      </x:c>
      <x:c r="E28" t="n">
        <x:v>9925891</x:v>
      </x:c>
      <x:c r="F28" t="n">
        <x:v>63222</x:v>
      </x:c>
      <x:c r="G28" t="n">
        <x:v>818</x:v>
      </x:c>
      <x:c r="H28" t="n">
        <x:v>83</x:v>
      </x:c>
      <x:c r="I28" t="n">
        <x:v>1878246</x:v>
      </x:c>
      <x:c r="J28" t="n">
        <x:v>1459785</x:v>
      </x:c>
      <x:c r="K28" t="n">
        <x:v>3338031</x:v>
      </x:c>
      <x:c r="L28" t="n">
        <x:v>21261</x:v>
      </x:c>
      <x:c r="M28" t="n">
        <x:v>777</x:v>
      </x:c>
      <x:c r="N28" t="n">
        <x:v>86</x:v>
      </x:c>
      <x:c r="O28" t="n">
        <x:v>1684608</x:v>
      </x:c>
      <x:c r="P28" t="n">
        <x:v>1400803</x:v>
      </x:c>
      <x:c r="Q28" t="n">
        <x:v>3085411</x:v>
      </x:c>
      <x:c r="R28" t="n">
        <x:v>19652</x:v>
      </x:c>
      <x:c r="S28" t="n">
        <x:v>832</x:v>
      </x:c>
      <x:c r="T28" t="n">
        <x:v>89</x:v>
      </x:c>
      <x:c r="U28" t="str">
        <x:v>Source uses Mumbai; standardized as Mumbai City</x:v>
      </x:c>
    </x:row>
    <x:row r="29">
      <x:c r="A29" t="str">
        <x:v>Raigarh</x:v>
      </x:c>
      <x:c r="B29" t="str">
        <x:v>Raigad</x:v>
      </x:c>
      <x:c r="C29" t="n">
        <x:v>907907</x:v>
      </x:c>
      <x:c r="D29" t="n">
        <x:v>916909</x:v>
      </x:c>
      <x:c r="E29" t="n">
        <x:v>1824816</x:v>
      </x:c>
      <x:c r="F29" t="n">
        <x:v>255</x:v>
      </x:c>
      <x:c r="G29" t="n">
        <x:v>1010</x:v>
      </x:c>
      <x:c r="H29" t="n">
        <x:v>64</x:v>
      </x:c>
      <x:c r="I29" t="n">
        <x:v>1117628</x:v>
      </x:c>
      <x:c r="J29" t="n">
        <x:v>1090301</x:v>
      </x:c>
      <x:c r="K29" t="n">
        <x:v>2207929</x:v>
      </x:c>
      <x:c r="L29" t="n">
        <x:v>309</x:v>
      </x:c>
      <x:c r="M29" t="n">
        <x:v>976</x:v>
      </x:c>
      <x:c r="N29" t="n">
        <x:v>77</x:v>
      </x:c>
      <x:c r="O29" t="n">
        <x:v>1344345</x:v>
      </x:c>
      <x:c r="P29" t="n">
        <x:v>1289855</x:v>
      </x:c>
      <x:c r="Q29" t="n">
        <x:v>2634200</x:v>
      </x:c>
      <x:c r="R29" t="n">
        <x:v>368</x:v>
      </x:c>
      <x:c r="S29" t="n">
        <x:v>959</x:v>
      </x:c>
      <x:c r="T29" t="n">
        <x:v>83</x:v>
      </x:c>
      <x:c r="U29" t="str"/>
    </x:row>
    <x:row r="30">
      <x:c r="A30" t="str">
        <x:v>Pune</x:v>
      </x:c>
      <x:c r="B30" t="str">
        <x:v>Pune</x:v>
      </x:c>
      <x:c r="C30" t="n">
        <x:v>2861460</x:v>
      </x:c>
      <x:c r="D30" t="n">
        <x:v>2671072</x:v>
      </x:c>
      <x:c r="E30" t="n">
        <x:v>5532532</x:v>
      </x:c>
      <x:c r="F30" t="n">
        <x:v>354</x:v>
      </x:c>
      <x:c r="G30" t="n">
        <x:v>933</x:v>
      </x:c>
      <x:c r="H30" t="n">
        <x:v>71</x:v>
      </x:c>
      <x:c r="I30" t="n">
        <x:v>3769128</x:v>
      </x:c>
      <x:c r="J30" t="n">
        <x:v>3463427</x:v>
      </x:c>
      <x:c r="K30" t="n">
        <x:v>7232555</x:v>
      </x:c>
      <x:c r="L30" t="n">
        <x:v>462</x:v>
      </x:c>
      <x:c r="M30" t="n">
        <x:v>919</x:v>
      </x:c>
      <x:c r="N30" t="n">
        <x:v>80</x:v>
      </x:c>
      <x:c r="O30" t="n">
        <x:v>4924105</x:v>
      </x:c>
      <x:c r="P30" t="n">
        <x:v>4505303</x:v>
      </x:c>
      <x:c r="Q30" t="n">
        <x:v>9429408</x:v>
      </x:c>
      <x:c r="R30" t="n">
        <x:v>603</x:v>
      </x:c>
      <x:c r="S30" t="n">
        <x:v>915</x:v>
      </x:c>
      <x:c r="T30" t="n">
        <x:v>86</x:v>
      </x:c>
      <x:c r="U30" t="str"/>
    </x:row>
    <x:row r="31">
      <x:c r="A31" t="str">
        <x:v>Ahmadnagar</x:v>
      </x:c>
      <x:c r="B31" t="str">
        <x:v>Ahilyanagar</x:v>
      </x:c>
      <x:c r="C31" t="n">
        <x:v>1730609</x:v>
      </x:c>
      <x:c r="D31" t="n">
        <x:v>1642326</x:v>
      </x:c>
      <x:c r="E31" t="n">
        <x:v>3372935</x:v>
      </x:c>
      <x:c r="F31" t="n">
        <x:v>198</x:v>
      </x:c>
      <x:c r="G31" t="n">
        <x:v>949</x:v>
      </x:c>
      <x:c r="H31" t="n">
        <x:v>61</x:v>
      </x:c>
      <x:c r="I31" t="n">
        <x:v>2083053</x:v>
      </x:c>
      <x:c r="J31" t="n">
        <x:v>1957589</x:v>
      </x:c>
      <x:c r="K31" t="n">
        <x:v>4040642</x:v>
      </x:c>
      <x:c r="L31" t="n">
        <x:v>237</x:v>
      </x:c>
      <x:c r="M31" t="n">
        <x:v>940</x:v>
      </x:c>
      <x:c r="N31" t="n">
        <x:v>75</x:v>
      </x:c>
      <x:c r="O31" t="n">
        <x:v>2342825</x:v>
      </x:c>
      <x:c r="P31" t="n">
        <x:v>2200334</x:v>
      </x:c>
      <x:c r="Q31" t="n">
        <x:v>4543159</x:v>
      </x:c>
      <x:c r="R31" t="n">
        <x:v>266</x:v>
      </x:c>
      <x:c r="S31" t="n">
        <x:v>939</x:v>
      </x:c>
      <x:c r="T31" t="n">
        <x:v>79</x:v>
      </x:c>
      <x:c r="U31" t="str"/>
    </x:row>
    <x:row r="32">
      <x:c r="A32" t="str">
        <x:v>Bid</x:v>
      </x:c>
      <x:c r="B32" t="str">
        <x:v>Beed</x:v>
      </x:c>
      <x:c r="C32" t="n">
        <x:v>937410</x:v>
      </x:c>
      <x:c r="D32" t="n">
        <x:v>884662</x:v>
      </x:c>
      <x:c r="E32" t="n">
        <x:v>1822072</x:v>
      </x:c>
      <x:c r="F32" t="n">
        <x:v>170</x:v>
      </x:c>
      <x:c r="G32" t="n">
        <x:v>944</x:v>
      </x:c>
      <x:c r="H32" t="n">
        <x:v>50</x:v>
      </x:c>
      <x:c r="I32" t="n">
        <x:v>1116356</x:v>
      </x:c>
      <x:c r="J32" t="n">
        <x:v>1044894</x:v>
      </x:c>
      <x:c r="K32" t="n">
        <x:v>2161250</x:v>
      </x:c>
      <x:c r="L32" t="n">
        <x:v>202</x:v>
      </x:c>
      <x:c r="M32" t="n">
        <x:v>936</x:v>
      </x:c>
      <x:c r="N32" t="n">
        <x:v>68</x:v>
      </x:c>
      <x:c r="O32" t="n">
        <x:v>1349106</x:v>
      </x:c>
      <x:c r="P32" t="n">
        <x:v>1235943</x:v>
      </x:c>
      <x:c r="Q32" t="n">
        <x:v>2585049</x:v>
      </x:c>
      <x:c r="R32" t="n">
        <x:v>242</x:v>
      </x:c>
      <x:c r="S32" t="n">
        <x:v>916</x:v>
      </x:c>
      <x:c r="T32" t="n">
        <x:v>77</x:v>
      </x:c>
      <x:c r="U32" t="str"/>
    </x:row>
    <x:row r="33">
      <x:c r="A33" t="str">
        <x:v>Latur</x:v>
      </x:c>
      <x:c r="B33" t="str">
        <x:v>Latur</x:v>
      </x:c>
      <x:c r="C33" t="n">
        <x:v>863203</x:v>
      </x:c>
      <x:c r="D33" t="n">
        <x:v>813438</x:v>
      </x:c>
      <x:c r="E33" t="n">
        <x:v>1676641</x:v>
      </x:c>
      <x:c r="F33" t="n">
        <x:v>234</x:v>
      </x:c>
      <x:c r="G33" t="n">
        <x:v>942</x:v>
      </x:c>
      <x:c r="H33" t="n">
        <x:v>56</x:v>
      </x:c>
      <x:c r="I33" t="n">
        <x:v>1075257</x:v>
      </x:c>
      <x:c r="J33" t="n">
        <x:v>1005028</x:v>
      </x:c>
      <x:c r="K33" t="n">
        <x:v>2080285</x:v>
      </x:c>
      <x:c r="L33" t="n">
        <x:v>291</x:v>
      </x:c>
      <x:c r="M33" t="n">
        <x:v>935</x:v>
      </x:c>
      <x:c r="N33" t="n">
        <x:v>72</x:v>
      </x:c>
      <x:c r="O33" t="n">
        <x:v>1273140</x:v>
      </x:c>
      <x:c r="P33" t="n">
        <x:v>1181056</x:v>
      </x:c>
      <x:c r="Q33" t="n">
        <x:v>2454196</x:v>
      </x:c>
      <x:c r="R33" t="n">
        <x:v>343</x:v>
      </x:c>
      <x:c r="S33" t="n">
        <x:v>928</x:v>
      </x:c>
      <x:c r="T33" t="n">
        <x:v>77</x:v>
      </x:c>
      <x:c r="U33" t="str"/>
    </x:row>
    <x:row r="34">
      <x:c r="A34" t="str">
        <x:v>Osmanabad</x:v>
      </x:c>
      <x:c r="B34" t="str">
        <x:v>Dharashiv</x:v>
      </x:c>
      <x:c r="C34" t="n">
        <x:v>658896</x:v>
      </x:c>
      <x:c r="D34" t="n">
        <x:v>617431</x:v>
      </x:c>
      <x:c r="E34" t="n">
        <x:v>1276327</x:v>
      </x:c>
      <x:c r="F34" t="n">
        <x:v>169</x:v>
      </x:c>
      <x:c r="G34" t="n">
        <x:v>937</x:v>
      </x:c>
      <x:c r="H34" t="n">
        <x:v>54</x:v>
      </x:c>
      <x:c r="I34" t="n">
        <x:v>769368</x:v>
      </x:c>
      <x:c r="J34" t="n">
        <x:v>717218</x:v>
      </x:c>
      <x:c r="K34" t="n">
        <x:v>1486586</x:v>
      </x:c>
      <x:c r="L34" t="n">
        <x:v>196</x:v>
      </x:c>
      <x:c r="M34" t="n">
        <x:v>932</x:v>
      </x:c>
      <x:c r="N34" t="n">
        <x:v>69</x:v>
      </x:c>
      <x:c r="O34" t="n">
        <x:v>861535</x:v>
      </x:c>
      <x:c r="P34" t="n">
        <x:v>796041</x:v>
      </x:c>
      <x:c r="Q34" t="n">
        <x:v>1657576</x:v>
      </x:c>
      <x:c r="R34" t="n">
        <x:v>219</x:v>
      </x:c>
      <x:c r="S34" t="n">
        <x:v>924</x:v>
      </x:c>
      <x:c r="T34" t="n">
        <x:v>78</x:v>
      </x:c>
      <x:c r="U34" t="str"/>
    </x:row>
    <x:row r="35">
      <x:c r="A35" t="str">
        <x:v>Solapur</x:v>
      </x:c>
      <x:c r="B35" t="str">
        <x:v>Solapur</x:v>
      </x:c>
      <x:c r="C35" t="n">
        <x:v>1670516</x:v>
      </x:c>
      <x:c r="D35" t="n">
        <x:v>1560541</x:v>
      </x:c>
      <x:c r="E35" t="n">
        <x:v>3231057</x:v>
      </x:c>
      <x:c r="F35" t="n">
        <x:v>217</x:v>
      </x:c>
      <x:c r="G35" t="n">
        <x:v>934</x:v>
      </x:c>
      <x:c r="H35" t="n">
        <x:v>56</x:v>
      </x:c>
      <x:c r="I35" t="n">
        <x:v>1989623</x:v>
      </x:c>
      <x:c r="J35" t="n">
        <x:v>1859920</x:v>
      </x:c>
      <x:c r="K35" t="n">
        <x:v>3849543</x:v>
      </x:c>
      <x:c r="L35" t="n">
        <x:v>258</x:v>
      </x:c>
      <x:c r="M35" t="n">
        <x:v>935</x:v>
      </x:c>
      <x:c r="N35" t="n">
        <x:v>71</x:v>
      </x:c>
      <x:c r="O35" t="n">
        <x:v>2227852</x:v>
      </x:c>
      <x:c r="P35" t="n">
        <x:v>2089904</x:v>
      </x:c>
      <x:c r="Q35" t="n">
        <x:v>4317756</x:v>
      </x:c>
      <x:c r="R35" t="n">
        <x:v>290</x:v>
      </x:c>
      <x:c r="S35" t="n">
        <x:v>938</x:v>
      </x:c>
      <x:c r="T35" t="n">
        <x:v>77</x:v>
      </x:c>
      <x:c r="U35" t="str"/>
    </x:row>
    <x:row r="36">
      <x:c r="A36" t="str">
        <x:v>Satara</x:v>
      </x:c>
      <x:c r="B36" t="str">
        <x:v>Satara</x:v>
      </x:c>
      <x:c r="C36" t="n">
        <x:v>1208375</x:v>
      </x:c>
      <x:c r="D36" t="n">
        <x:v>1242997</x:v>
      </x:c>
      <x:c r="E36" t="n">
        <x:v>2451372</x:v>
      </x:c>
      <x:c r="F36" t="n">
        <x:v>234</x:v>
      </x:c>
      <x:c r="G36" t="n">
        <x:v>1029</x:v>
      </x:c>
      <x:c r="H36" t="n">
        <x:v>67</x:v>
      </x:c>
      <x:c r="I36" t="n">
        <x:v>1408326</x:v>
      </x:c>
      <x:c r="J36" t="n">
        <x:v>1400668</x:v>
      </x:c>
      <x:c r="K36" t="n">
        <x:v>2808994</x:v>
      </x:c>
      <x:c r="L36" t="n">
        <x:v>268</x:v>
      </x:c>
      <x:c r="M36" t="n">
        <x:v>995</x:v>
      </x:c>
      <x:c r="N36" t="n">
        <x:v>78</x:v>
      </x:c>
      <x:c r="O36" t="n">
        <x:v>1510842</x:v>
      </x:c>
      <x:c r="P36" t="n">
        <x:v>1492899</x:v>
      </x:c>
      <x:c r="Q36" t="n">
        <x:v>3003741</x:v>
      </x:c>
      <x:c r="R36" t="n">
        <x:v>287</x:v>
      </x:c>
      <x:c r="S36" t="n">
        <x:v>988</x:v>
      </x:c>
      <x:c r="T36" t="n">
        <x:v>83</x:v>
      </x:c>
      <x:c r="U36" t="str"/>
    </x:row>
    <x:row r="37">
      <x:c r="A37" t="str">
        <x:v>Ratnagiri</x:v>
      </x:c>
      <x:c r="B37" t="str">
        <x:v>Ratnagiri</x:v>
      </x:c>
      <x:c r="C37" t="n">
        <x:v>700190</x:v>
      </x:c>
      <x:c r="D37" t="n">
        <x:v>843867</x:v>
      </x:c>
      <x:c r="E37" t="n">
        <x:v>1544057</x:v>
      </x:c>
      <x:c r="F37" t="n">
        <x:v>188</x:v>
      </x:c>
      <x:c r="G37" t="n">
        <x:v>1205</x:v>
      </x:c>
      <x:c r="H37" t="n">
        <x:v>63</x:v>
      </x:c>
      <x:c r="I37" t="n">
        <x:v>794498</x:v>
      </x:c>
      <x:c r="J37" t="n">
        <x:v>902279</x:v>
      </x:c>
      <x:c r="K37" t="n">
        <x:v>1696777</x:v>
      </x:c>
      <x:c r="L37" t="n">
        <x:v>207</x:v>
      </x:c>
      <x:c r="M37" t="n">
        <x:v>1136</x:v>
      </x:c>
      <x:c r="N37" t="n">
        <x:v>75</x:v>
      </x:c>
      <x:c r="O37" t="n">
        <x:v>761121</x:v>
      </x:c>
      <x:c r="P37" t="n">
        <x:v>853948</x:v>
      </x:c>
      <x:c r="Q37" t="n">
        <x:v>1615069</x:v>
      </x:c>
      <x:c r="R37" t="n">
        <x:v>197</x:v>
      </x:c>
      <x:c r="S37" t="n">
        <x:v>1122</x:v>
      </x:c>
      <x:c r="T37" t="n">
        <x:v>82</x:v>
      </x:c>
      <x:c r="U37" t="str"/>
    </x:row>
    <x:row r="38">
      <x:c r="A38" t="str">
        <x:v>Sindhudurg</x:v>
      </x:c>
      <x:c r="B38" t="str">
        <x:v>Sindhudurg</x:v>
      </x:c>
      <x:c r="C38" t="n">
        <x:v>389384</x:v>
      </x:c>
      <x:c r="D38" t="n">
        <x:v>442768</x:v>
      </x:c>
      <x:c r="E38" t="n">
        <x:v>832152</x:v>
      </x:c>
      <x:c r="F38" t="n">
        <x:v>160</x:v>
      </x:c>
      <x:c r="G38" t="n">
        <x:v>1137</x:v>
      </x:c>
      <x:c r="H38" t="n">
        <x:v>76</x:v>
      </x:c>
      <x:c r="I38" t="n">
        <x:v>417890</x:v>
      </x:c>
      <x:c r="J38" t="n">
        <x:v>450935</x:v>
      </x:c>
      <x:c r="K38" t="n">
        <x:v>868825</x:v>
      </x:c>
      <x:c r="L38" t="n">
        <x:v>167</x:v>
      </x:c>
      <x:c r="M38" t="n">
        <x:v>1079</x:v>
      </x:c>
      <x:c r="N38" t="n">
        <x:v>80</x:v>
      </x:c>
      <x:c r="O38" t="n">
        <x:v>417332</x:v>
      </x:c>
      <x:c r="P38" t="n">
        <x:v>432319</x:v>
      </x:c>
      <x:c r="Q38" t="n">
        <x:v>849651</x:v>
      </x:c>
      <x:c r="R38" t="n">
        <x:v>163</x:v>
      </x:c>
      <x:c r="S38" t="n">
        <x:v>1036</x:v>
      </x:c>
      <x:c r="T38" t="n">
        <x:v>86</x:v>
      </x:c>
      <x:c r="U38" t="str"/>
    </x:row>
    <x:row r="39">
      <x:c r="A39" t="str">
        <x:v>Kolhapur</x:v>
      </x:c>
      <x:c r="B39" t="str">
        <x:v>Kolhapur</x:v>
      </x:c>
      <x:c r="C39" t="n">
        <x:v>1524732</x:v>
      </x:c>
      <x:c r="D39" t="n">
        <x:v>1464775</x:v>
      </x:c>
      <x:c r="E39" t="n">
        <x:v>2989507</x:v>
      </x:c>
      <x:c r="F39" t="n">
        <x:v>389</x:v>
      </x:c>
      <x:c r="G39" t="n">
        <x:v>961</x:v>
      </x:c>
      <x:c r="H39" t="n">
        <x:v>67</x:v>
      </x:c>
      <x:c r="I39" t="n">
        <x:v>1807470</x:v>
      </x:c>
      <x:c r="J39" t="n">
        <x:v>1715692</x:v>
      </x:c>
      <x:c r="K39" t="n">
        <x:v>3523162</x:v>
      </x:c>
      <x:c r="L39" t="n">
        <x:v>458</x:v>
      </x:c>
      <x:c r="M39" t="n">
        <x:v>949</x:v>
      </x:c>
      <x:c r="N39" t="n">
        <x:v>77</x:v>
      </x:c>
      <x:c r="O39" t="n">
        <x:v>1980658</x:v>
      </x:c>
      <x:c r="P39" t="n">
        <x:v>1895343</x:v>
      </x:c>
      <x:c r="Q39" t="n">
        <x:v>3876001</x:v>
      </x:c>
      <x:c r="R39" t="n">
        <x:v>504</x:v>
      </x:c>
      <x:c r="S39" t="n">
        <x:v>957</x:v>
      </x:c>
      <x:c r="T39" t="n">
        <x:v>82</x:v>
      </x:c>
      <x:c r="U39" t="str"/>
    </x:row>
    <x:row r="40">
      <x:c r="A40" t="str">
        <x:v>Sangli</x:v>
      </x:c>
      <x:c r="B40" t="str">
        <x:v>Sangli</x:v>
      </x:c>
      <x:c r="C40" t="n">
        <x:v>1128521</x:v>
      </x:c>
      <x:c r="D40" t="n">
        <x:v>1080967</x:v>
      </x:c>
      <x:c r="E40" t="n">
        <x:v>2209488</x:v>
      </x:c>
      <x:c r="F40" t="n">
        <x:v>258</x:v>
      </x:c>
      <x:c r="G40" t="n">
        <x:v>958</x:v>
      </x:c>
      <x:c r="H40" t="n">
        <x:v>63</x:v>
      </x:c>
      <x:c r="I40" t="n">
        <x:v>1320088</x:v>
      </x:c>
      <x:c r="J40" t="n">
        <x:v>1263436</x:v>
      </x:c>
      <x:c r="K40" t="n">
        <x:v>2583524</x:v>
      </x:c>
      <x:c r="L40" t="n">
        <x:v>301</x:v>
      </x:c>
      <x:c r="M40" t="n">
        <x:v>957</x:v>
      </x:c>
      <x:c r="N40" t="n">
        <x:v>77</x:v>
      </x:c>
      <x:c r="O40" t="n">
        <x:v>1435728</x:v>
      </x:c>
      <x:c r="P40" t="n">
        <x:v>1386415</x:v>
      </x:c>
      <x:c r="Q40" t="n">
        <x:v>2822143</x:v>
      </x:c>
      <x:c r="R40" t="n">
        <x:v>329</x:v>
      </x:c>
      <x:c r="S40" t="n">
        <x:v>966</x:v>
      </x:c>
      <x:c r="T40" t="n">
        <x:v>81</x:v>
      </x:c>
      <x:c r="U40" t="str"/>
    </x:row>
  </x:sheetData>
  <x:mergeCells>
    <x:mergeCell ref="A1:U1"/>
    <x:mergeCell ref="A2:U2"/>
    <x:mergeCell ref="A3:U3"/>
  </x:mergeCells>
  <x:pageMargins left="0.7" right="0.7" top="0.75" bottom="0.75" header="0.3" footer="0.3"/>
  <x:tableParts count="1">
    <x:tablePart xmlns:r="http://schemas.openxmlformats.org/officeDocument/2006/relationships" r:id="R1dea9850cc6a4959"/>
  </x:tableParts>
</x:worksheet>
</file>

<file path=xl/worksheets/sheet6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1" ht="36" customHeight="1">
      <x:c r="A1" s="32" t="str">
        <x:v>Census records | one row per district and census year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25" customHeight="1">
      <x:c r="A2" s="34" t="str">
        <x:v>Source file: Population &amp; Population Density, Sex Ratio, Literacy Rate For The Year 1991, 2001 &amp; 2011.xls    |    User-supplied upload    |    Cleaned numeric fields; source labels preserved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 ht="26" customHeight="1">
      <x:c r="A3" s="46" t="str">
        <x:v>Rows retain historic district boundaries; do not treat 2001-11 counts as current districts.</x:v>
      </x:c>
      <x:c r="B3" s="46"/>
      <x:c r="C3" s="46"/>
      <x:c r="D3" s="46"/>
      <x:c r="E3" s="46"/>
      <x:c r="F3" s="46"/>
      <x:c r="G3" s="46"/>
      <x:c r="H3" s="46"/>
      <x:c r="I3" s="46"/>
      <x:c r="J3" s="46"/>
    </x:row>
    <x:row r="5" ht="32" customHeight="1">
      <x:c r="A5" s="41" t="str">
        <x:v>District (standard)</x:v>
      </x:c>
      <x:c r="B5" s="41" t="str">
        <x:v>District (source)</x:v>
      </x:c>
      <x:c r="C5" s="41" t="str">
        <x:v>Census year</x:v>
      </x:c>
      <x:c r="D5" s="41" t="str">
        <x:v>Male</x:v>
      </x:c>
      <x:c r="E5" s="41" t="str">
        <x:v>Female</x:v>
      </x:c>
      <x:c r="F5" s="41" t="str">
        <x:v>Population</x:v>
      </x:c>
      <x:c r="G5" s="41" t="str">
        <x:v>Density (persons per sq km)</x:v>
      </x:c>
      <x:c r="H5" s="41" t="str">
        <x:v>Sex ratio (females per 1000 males)</x:v>
      </x:c>
      <x:c r="I5" s="41" t="str">
        <x:v>Literacy rate (%)</x:v>
      </x:c>
      <x:c r="J5" s="41" t="str">
        <x:v>Data note</x:v>
      </x:c>
    </x:row>
    <x:row r="6">
      <x:c r="A6" t="str">
        <x:v>Nandurbar</x:v>
      </x:c>
      <x:c r="B6" t="str">
        <x:v>Nandurbar</x:v>
      </x:c>
      <x:c r="C6" t="n">
        <x:v>1991</x:v>
      </x:c>
      <x:c r="D6"/>
      <x:c r="E6"/>
      <x:c r="F6" s="47"/>
      <x:c r="G6"/>
      <x:c r="H6"/>
      <x:c r="I6" s="48"/>
      <x:c r="J6" t="str">
        <x:v>Not available in uploaded source</x:v>
      </x:c>
    </x:row>
    <x:row r="7">
      <x:c r="A7" t="str">
        <x:v>Nandurbar</x:v>
      </x:c>
      <x:c r="B7" t="str">
        <x:v>Nandurbar</x:v>
      </x:c>
      <x:c r="C7" t="n">
        <x:v>2001</x:v>
      </x:c>
      <x:c r="D7" t="n">
        <x:v>663511</x:v>
      </x:c>
      <x:c r="E7" t="n">
        <x:v>648198</x:v>
      </x:c>
      <x:c r="F7" s="47" t="n">
        <x:v>1311709</x:v>
      </x:c>
      <x:c r="G7" t="n">
        <x:v>220</x:v>
      </x:c>
      <x:c r="H7" t="n">
        <x:v>977</x:v>
      </x:c>
      <x:c r="I7" s="48" t="n">
        <x:v>56</x:v>
      </x:c>
      <x:c r="J7" t="str"/>
    </x:row>
    <x:row r="8">
      <x:c r="A8" t="str">
        <x:v>Nandurbar</x:v>
      </x:c>
      <x:c r="B8" t="str">
        <x:v>Nandurbar</x:v>
      </x:c>
      <x:c r="C8" t="n">
        <x:v>2011</x:v>
      </x:c>
      <x:c r="D8" t="n">
        <x:v>833170</x:v>
      </x:c>
      <x:c r="E8" t="n">
        <x:v>815125</x:v>
      </x:c>
      <x:c r="F8" s="47" t="n">
        <x:v>1648295</x:v>
      </x:c>
      <x:c r="G8" t="n">
        <x:v>277</x:v>
      </x:c>
      <x:c r="H8" t="n">
        <x:v>978</x:v>
      </x:c>
      <x:c r="I8" s="48" t="n">
        <x:v>64</x:v>
      </x:c>
      <x:c r="J8" t="str"/>
    </x:row>
    <x:row r="9">
      <x:c r="A9" t="str">
        <x:v>Dhule</x:v>
      </x:c>
      <x:c r="B9" t="str">
        <x:v>Dhule</x:v>
      </x:c>
      <x:c r="C9" t="n">
        <x:v>1991</x:v>
      </x:c>
      <x:c r="D9" t="n">
        <x:v>1295288</x:v>
      </x:c>
      <x:c r="E9" t="n">
        <x:v>1240427</x:v>
      </x:c>
      <x:c r="F9" s="47" t="n">
        <x:v>2535715</x:v>
      </x:c>
      <x:c r="G9" t="n">
        <x:v>352</x:v>
      </x:c>
      <x:c r="H9" t="n">
        <x:v>958</x:v>
      </x:c>
      <x:c r="I9" s="48" t="n">
        <x:v>51</x:v>
      </x:c>
      <x:c r="J9" t="str"/>
    </x:row>
    <x:row r="10">
      <x:c r="A10" t="str">
        <x:v>Dhule</x:v>
      </x:c>
      <x:c r="B10" t="str">
        <x:v>Dhule</x:v>
      </x:c>
      <x:c r="C10" t="n">
        <x:v>2001</x:v>
      </x:c>
      <x:c r="D10" t="n">
        <x:v>878372</x:v>
      </x:c>
      <x:c r="E10" t="n">
        <x:v>829575</x:v>
      </x:c>
      <x:c r="F10" s="47" t="n">
        <x:v>1707947</x:v>
      </x:c>
      <x:c r="G10" t="n">
        <x:v>237</x:v>
      </x:c>
      <x:c r="H10" t="n">
        <x:v>944</x:v>
      </x:c>
      <x:c r="I10" s="48" t="n">
        <x:v>72</x:v>
      </x:c>
      <x:c r="J10" t="str"/>
    </x:row>
    <x:row r="11">
      <x:c r="A11" t="str">
        <x:v>Dhule</x:v>
      </x:c>
      <x:c r="B11" t="str">
        <x:v>Dhule</x:v>
      </x:c>
      <x:c r="C11" t="n">
        <x:v>2011</x:v>
      </x:c>
      <x:c r="D11" t="n">
        <x:v>1054031</x:v>
      </x:c>
      <x:c r="E11" t="n">
        <x:v>996831</x:v>
      </x:c>
      <x:c r="F11" s="47" t="n">
        <x:v>2050862</x:v>
      </x:c>
      <x:c r="G11" t="n">
        <x:v>285</x:v>
      </x:c>
      <x:c r="H11" t="n">
        <x:v>946</x:v>
      </x:c>
      <x:c r="I11" s="48" t="n">
        <x:v>73</x:v>
      </x:c>
      <x:c r="J11" t="str"/>
    </x:row>
    <x:row r="12">
      <x:c r="A12" t="str">
        <x:v>Jalgaon</x:v>
      </x:c>
      <x:c r="B12" t="str">
        <x:v>Jalgaon</x:v>
      </x:c>
      <x:c r="C12" t="n">
        <x:v>1991</x:v>
      </x:c>
      <x:c r="D12" t="n">
        <x:v>1642873</x:v>
      </x:c>
      <x:c r="E12" t="n">
        <x:v>1544761</x:v>
      </x:c>
      <x:c r="F12" s="47" t="n">
        <x:v>3187634</x:v>
      </x:c>
      <x:c r="G12" t="n">
        <x:v>271</x:v>
      </x:c>
      <x:c r="H12" t="n">
        <x:v>940</x:v>
      </x:c>
      <x:c r="I12" s="48" t="n">
        <x:v>64</x:v>
      </x:c>
      <x:c r="J12" t="str"/>
    </x:row>
    <x:row r="13">
      <x:c r="A13" t="str">
        <x:v>Jalgaon</x:v>
      </x:c>
      <x:c r="B13" t="str">
        <x:v>Jalgaon</x:v>
      </x:c>
      <x:c r="C13" t="n">
        <x:v>2001</x:v>
      </x:c>
      <x:c r="D13" t="n">
        <x:v>1905493</x:v>
      </x:c>
      <x:c r="E13" t="n">
        <x:v>1777197</x:v>
      </x:c>
      <x:c r="F13" s="47" t="n">
        <x:v>3682690</x:v>
      </x:c>
      <x:c r="G13" t="n">
        <x:v>313</x:v>
      </x:c>
      <x:c r="H13" t="n">
        <x:v>933</x:v>
      </x:c>
      <x:c r="I13" s="48" t="n">
        <x:v>75</x:v>
      </x:c>
      <x:c r="J13" t="str"/>
    </x:row>
    <x:row r="14">
      <x:c r="A14" t="str">
        <x:v>Jalgaon</x:v>
      </x:c>
      <x:c r="B14" t="str">
        <x:v>Jalgaon</x:v>
      </x:c>
      <x:c r="C14" t="n">
        <x:v>2011</x:v>
      </x:c>
      <x:c r="D14" t="n">
        <x:v>2197365</x:v>
      </x:c>
      <x:c r="E14" t="n">
        <x:v>2032552</x:v>
      </x:c>
      <x:c r="F14" s="47" t="n">
        <x:v>4229917</x:v>
      </x:c>
      <x:c r="G14" t="n">
        <x:v>360</x:v>
      </x:c>
      <x:c r="H14" t="n">
        <x:v>925</x:v>
      </x:c>
      <x:c r="I14" s="48" t="n">
        <x:v>78</x:v>
      </x:c>
      <x:c r="J14" t="str"/>
    </x:row>
    <x:row r="15">
      <x:c r="A15" t="str">
        <x:v>Buldhana</x:v>
      </x:c>
      <x:c r="B15" t="str">
        <x:v>Buldana</x:v>
      </x:c>
      <x:c r="C15" t="n">
        <x:v>1991</x:v>
      </x:c>
      <x:c r="D15" t="n">
        <x:v>966017</x:v>
      </x:c>
      <x:c r="E15" t="n">
        <x:v>920282</x:v>
      </x:c>
      <x:c r="F15" s="47" t="n">
        <x:v>1886299</x:v>
      </x:c>
      <x:c r="G15" t="n">
        <x:v>195</x:v>
      </x:c>
      <x:c r="H15" t="n">
        <x:v>953</x:v>
      </x:c>
      <x:c r="I15" s="48" t="n">
        <x:v>62</x:v>
      </x:c>
      <x:c r="J15" t="str"/>
    </x:row>
    <x:row r="16">
      <x:c r="A16" t="str">
        <x:v>Buldhana</x:v>
      </x:c>
      <x:c r="B16" t="str">
        <x:v>Buldana</x:v>
      </x:c>
      <x:c r="C16" t="n">
        <x:v>2001</x:v>
      </x:c>
      <x:c r="D16" t="n">
        <x:v>1147403</x:v>
      </x:c>
      <x:c r="E16" t="n">
        <x:v>1085077</x:v>
      </x:c>
      <x:c r="F16" s="47" t="n">
        <x:v>2232480</x:v>
      </x:c>
      <x:c r="G16" t="n">
        <x:v>231</x:v>
      </x:c>
      <x:c r="H16" t="n">
        <x:v>946</x:v>
      </x:c>
      <x:c r="I16" s="48" t="n">
        <x:v>76</x:v>
      </x:c>
      <x:c r="J16" t="str"/>
    </x:row>
    <x:row r="17">
      <x:c r="A17" t="str">
        <x:v>Buldhana</x:v>
      </x:c>
      <x:c r="B17" t="str">
        <x:v>Buldana</x:v>
      </x:c>
      <x:c r="C17" t="n">
        <x:v>2011</x:v>
      </x:c>
      <x:c r="D17" t="n">
        <x:v>1337560</x:v>
      </x:c>
      <x:c r="E17" t="n">
        <x:v>1248698</x:v>
      </x:c>
      <x:c r="F17" s="47" t="n">
        <x:v>2586258</x:v>
      </x:c>
      <x:c r="G17" t="n">
        <x:v>268</x:v>
      </x:c>
      <x:c r="H17" t="n">
        <x:v>934</x:v>
      </x:c>
      <x:c r="I17" s="48" t="n">
        <x:v>83</x:v>
      </x:c>
      <x:c r="J17" t="str"/>
    </x:row>
    <x:row r="18">
      <x:c r="A18" t="str">
        <x:v>Akola</x:v>
      </x:c>
      <x:c r="B18" t="str">
        <x:v>Akola</x:v>
      </x:c>
      <x:c r="C18" t="n">
        <x:v>1991</x:v>
      </x:c>
      <x:c r="D18" t="n">
        <x:v>1142148</x:v>
      </x:c>
      <x:c r="E18" t="n">
        <x:v>1072123</x:v>
      </x:c>
      <x:c r="F18" s="47" t="n">
        <x:v>2214271</x:v>
      </x:c>
      <x:c r="G18" t="n">
        <x:v>390</x:v>
      </x:c>
      <x:c r="H18" t="n">
        <x:v>939</x:v>
      </x:c>
      <x:c r="I18" s="48" t="n">
        <x:v>66</x:v>
      </x:c>
      <x:c r="J18" t="str"/>
    </x:row>
    <x:row r="19">
      <x:c r="A19" t="str">
        <x:v>Akola</x:v>
      </x:c>
      <x:c r="B19" t="str">
        <x:v>Akola</x:v>
      </x:c>
      <x:c r="C19" t="n">
        <x:v>2001</x:v>
      </x:c>
      <x:c r="D19" t="n">
        <x:v>841253</x:v>
      </x:c>
      <x:c r="E19" t="n">
        <x:v>788986</x:v>
      </x:c>
      <x:c r="F19" s="47" t="n">
        <x:v>1630239</x:v>
      </x:c>
      <x:c r="G19" t="n">
        <x:v>287</x:v>
      </x:c>
      <x:c r="H19" t="n">
        <x:v>938</x:v>
      </x:c>
      <x:c r="I19" s="48" t="n">
        <x:v>81</x:v>
      </x:c>
      <x:c r="J19" t="str"/>
    </x:row>
    <x:row r="20">
      <x:c r="A20" t="str">
        <x:v>Akola</x:v>
      </x:c>
      <x:c r="B20" t="str">
        <x:v>Akola</x:v>
      </x:c>
      <x:c r="C20" t="n">
        <x:v>2011</x:v>
      </x:c>
      <x:c r="D20" t="n">
        <x:v>932334</x:v>
      </x:c>
      <x:c r="E20" t="n">
        <x:v>881572</x:v>
      </x:c>
      <x:c r="F20" s="47" t="n">
        <x:v>1813906</x:v>
      </x:c>
      <x:c r="G20" t="n">
        <x:v>320</x:v>
      </x:c>
      <x:c r="H20" t="n">
        <x:v>946</x:v>
      </x:c>
      <x:c r="I20" s="48" t="n">
        <x:v>88</x:v>
      </x:c>
      <x:c r="J20" t="str"/>
    </x:row>
    <x:row r="21">
      <x:c r="A21" t="str">
        <x:v>Washim</x:v>
      </x:c>
      <x:c r="B21" t="str">
        <x:v>Washim</x:v>
      </x:c>
      <x:c r="C21" t="n">
        <x:v>1991</x:v>
      </x:c>
      <x:c r="D21"/>
      <x:c r="E21"/>
      <x:c r="F21" s="47"/>
      <x:c r="G21"/>
      <x:c r="H21"/>
      <x:c r="I21" s="48"/>
      <x:c r="J21" t="str">
        <x:v>Not available in uploaded source</x:v>
      </x:c>
    </x:row>
    <x:row r="22">
      <x:c r="A22" t="str">
        <x:v>Washim</x:v>
      </x:c>
      <x:c r="B22" t="str">
        <x:v>Washim</x:v>
      </x:c>
      <x:c r="C22" t="n">
        <x:v>2001</x:v>
      </x:c>
      <x:c r="D22" t="n">
        <x:v>526094</x:v>
      </x:c>
      <x:c r="E22" t="n">
        <x:v>494122</x:v>
      </x:c>
      <x:c r="F22" s="47" t="n">
        <x:v>1020216</x:v>
      </x:c>
      <x:c r="G22" t="n">
        <x:v>208</x:v>
      </x:c>
      <x:c r="H22" t="n">
        <x:v>939</x:v>
      </x:c>
      <x:c r="I22" s="48" t="n">
        <x:v>73</x:v>
      </x:c>
      <x:c r="J22" t="str"/>
    </x:row>
    <x:row r="23">
      <x:c r="A23" t="str">
        <x:v>Washim</x:v>
      </x:c>
      <x:c r="B23" t="str">
        <x:v>Washim</x:v>
      </x:c>
      <x:c r="C23" t="n">
        <x:v>2011</x:v>
      </x:c>
      <x:c r="D23" t="n">
        <x:v>620302</x:v>
      </x:c>
      <x:c r="E23" t="n">
        <x:v>576858</x:v>
      </x:c>
      <x:c r="F23" s="47" t="n">
        <x:v>1197160</x:v>
      </x:c>
      <x:c r="G23" t="n">
        <x:v>244</x:v>
      </x:c>
      <x:c r="H23" t="n">
        <x:v>930</x:v>
      </x:c>
      <x:c r="I23" s="48" t="n">
        <x:v>83</x:v>
      </x:c>
      <x:c r="J23" t="str"/>
    </x:row>
    <x:row r="24">
      <x:c r="A24" t="str">
        <x:v>Amravati</x:v>
      </x:c>
      <x:c r="B24" t="str">
        <x:v>Amravati</x:v>
      </x:c>
      <x:c r="C24" t="n">
        <x:v>1991</x:v>
      </x:c>
      <x:c r="D24" t="n">
        <x:v>1136314</x:v>
      </x:c>
      <x:c r="E24" t="n">
        <x:v>1063743</x:v>
      </x:c>
      <x:c r="F24" s="47" t="n">
        <x:v>2200057</x:v>
      </x:c>
      <x:c r="G24" t="n">
        <x:v>180</x:v>
      </x:c>
      <x:c r="H24" t="n">
        <x:v>936</x:v>
      </x:c>
      <x:c r="I24" s="48" t="n">
        <x:v>70</x:v>
      </x:c>
      <x:c r="J24" t="str"/>
    </x:row>
    <x:row r="25">
      <x:c r="A25" t="str">
        <x:v>Amravati</x:v>
      </x:c>
      <x:c r="B25" t="str">
        <x:v>Amravati</x:v>
      </x:c>
      <x:c r="C25" t="n">
        <x:v>2001</x:v>
      </x:c>
      <x:c r="D25" t="n">
        <x:v>1345614</x:v>
      </x:c>
      <x:c r="E25" t="n">
        <x:v>1261546</x:v>
      </x:c>
      <x:c r="F25" s="47" t="n">
        <x:v>2607160</x:v>
      </x:c>
      <x:c r="G25" t="n">
        <x:v>214</x:v>
      </x:c>
      <x:c r="H25" t="n">
        <x:v>938</x:v>
      </x:c>
      <x:c r="I25" s="48" t="n">
        <x:v>83</x:v>
      </x:c>
      <x:c r="J25" t="str"/>
    </x:row>
    <x:row r="26">
      <x:c r="A26" t="str">
        <x:v>Amravati</x:v>
      </x:c>
      <x:c r="B26" t="str">
        <x:v>Amravati</x:v>
      </x:c>
      <x:c r="C26" t="n">
        <x:v>2011</x:v>
      </x:c>
      <x:c r="D26" t="n">
        <x:v>1480768</x:v>
      </x:c>
      <x:c r="E26" t="n">
        <x:v>1407677</x:v>
      </x:c>
      <x:c r="F26" s="47" t="n">
        <x:v>2888445</x:v>
      </x:c>
      <x:c r="G26" t="n">
        <x:v>237</x:v>
      </x:c>
      <x:c r="H26" t="n">
        <x:v>951</x:v>
      </x:c>
      <x:c r="I26" s="48" t="n">
        <x:v>87</x:v>
      </x:c>
      <x:c r="J26" t="str"/>
    </x:row>
    <x:row r="27">
      <x:c r="A27" t="str">
        <x:v>Wardha</x:v>
      </x:c>
      <x:c r="B27" t="str">
        <x:v>Wardha</x:v>
      </x:c>
      <x:c r="C27" t="n">
        <x:v>1991</x:v>
      </x:c>
      <x:c r="D27" t="n">
        <x:v>550370</x:v>
      </x:c>
      <x:c r="E27" t="n">
        <x:v>516987</x:v>
      </x:c>
      <x:c r="F27" s="47" t="n">
        <x:v>1067357</x:v>
      </x:c>
      <x:c r="G27" t="n">
        <x:v>169</x:v>
      </x:c>
      <x:c r="H27" t="n">
        <x:v>939</x:v>
      </x:c>
      <x:c r="I27" s="48" t="n">
        <x:v>70</x:v>
      </x:c>
      <x:c r="J27" t="str"/>
    </x:row>
    <x:row r="28">
      <x:c r="A28" t="str">
        <x:v>Wardha</x:v>
      </x:c>
      <x:c r="B28" t="str">
        <x:v>Wardha</x:v>
      </x:c>
      <x:c r="C28" t="n">
        <x:v>2001</x:v>
      </x:c>
      <x:c r="D28" t="n">
        <x:v>638990</x:v>
      </x:c>
      <x:c r="E28" t="n">
        <x:v>597746</x:v>
      </x:c>
      <x:c r="F28" s="47" t="n">
        <x:v>1236736</x:v>
      </x:c>
      <x:c r="G28" t="n">
        <x:v>196</x:v>
      </x:c>
      <x:c r="H28" t="n">
        <x:v>935</x:v>
      </x:c>
      <x:c r="I28" s="48" t="n">
        <x:v>80</x:v>
      </x:c>
      <x:c r="J28" t="str"/>
    </x:row>
    <x:row r="29">
      <x:c r="A29" t="str">
        <x:v>Wardha</x:v>
      </x:c>
      <x:c r="B29" t="str">
        <x:v>Wardha</x:v>
      </x:c>
      <x:c r="C29" t="n">
        <x:v>2011</x:v>
      </x:c>
      <x:c r="D29" t="n">
        <x:v>668385</x:v>
      </x:c>
      <x:c r="E29" t="n">
        <x:v>632389</x:v>
      </x:c>
      <x:c r="F29" s="47" t="n">
        <x:v>1300774</x:v>
      </x:c>
      <x:c r="G29" t="n">
        <x:v>206</x:v>
      </x:c>
      <x:c r="H29" t="n">
        <x:v>946</x:v>
      </x:c>
      <x:c r="I29" s="48" t="n">
        <x:v>87</x:v>
      </x:c>
      <x:c r="J29" t="str"/>
    </x:row>
    <x:row r="30">
      <x:c r="A30" t="str">
        <x:v>Nagpur</x:v>
      </x:c>
      <x:c r="B30" t="str">
        <x:v>Nagpur</x:v>
      </x:c>
      <x:c r="C30" t="n">
        <x:v>1991</x:v>
      </x:c>
      <x:c r="D30" t="n">
        <x:v>1710404</x:v>
      </x:c>
      <x:c r="E30" t="n">
        <x:v>1576735</x:v>
      </x:c>
      <x:c r="F30" s="47" t="n">
        <x:v>3287139</x:v>
      </x:c>
      <x:c r="G30" t="n">
        <x:v>332</x:v>
      </x:c>
      <x:c r="H30" t="n">
        <x:v>922</x:v>
      </x:c>
      <x:c r="I30" s="48" t="n">
        <x:v>74</x:v>
      </x:c>
      <x:c r="J30" t="str"/>
    </x:row>
    <x:row r="31">
      <x:c r="A31" t="str">
        <x:v>Nagpur</x:v>
      </x:c>
      <x:c r="B31" t="str">
        <x:v>Nagpur</x:v>
      </x:c>
      <x:c r="C31" t="n">
        <x:v>2001</x:v>
      </x:c>
      <x:c r="D31" t="n">
        <x:v>2105314</x:v>
      </x:c>
      <x:c r="E31" t="n">
        <x:v>1962323</x:v>
      </x:c>
      <x:c r="F31" s="47" t="n">
        <x:v>4067637</x:v>
      </x:c>
      <x:c r="G31" t="n">
        <x:v>411</x:v>
      </x:c>
      <x:c r="H31" t="n">
        <x:v>932</x:v>
      </x:c>
      <x:c r="I31" s="48" t="n">
        <x:v>84</x:v>
      </x:c>
      <x:c r="J31" t="str"/>
    </x:row>
    <x:row r="32">
      <x:c r="A32" t="str">
        <x:v>Nagpur</x:v>
      </x:c>
      <x:c r="B32" t="str">
        <x:v>Nagpur</x:v>
      </x:c>
      <x:c r="C32" t="n">
        <x:v>2011</x:v>
      </x:c>
      <x:c r="D32" t="n">
        <x:v>2384975</x:v>
      </x:c>
      <x:c r="E32" t="n">
        <x:v>2268595</x:v>
      </x:c>
      <x:c r="F32" s="47" t="n">
        <x:v>4653570</x:v>
      </x:c>
      <x:c r="G32" t="n">
        <x:v>470</x:v>
      </x:c>
      <x:c r="H32" t="n">
        <x:v>951</x:v>
      </x:c>
      <x:c r="I32" s="48" t="n">
        <x:v>88</x:v>
      </x:c>
      <x:c r="J32" t="str"/>
    </x:row>
    <x:row r="33">
      <x:c r="A33" t="str">
        <x:v>Bhandara</x:v>
      </x:c>
      <x:c r="B33" t="str">
        <x:v>Bhandara</x:v>
      </x:c>
      <x:c r="C33" t="n">
        <x:v>1991</x:v>
      </x:c>
      <x:c r="D33" t="n">
        <x:v>1060275</x:v>
      </x:c>
      <x:c r="E33" t="n">
        <x:v>1047354</x:v>
      </x:c>
      <x:c r="F33" s="47" t="n">
        <x:v>2107629</x:v>
      </x:c>
      <x:c r="G33" t="n">
        <x:v>516</x:v>
      </x:c>
      <x:c r="H33" t="n">
        <x:v>988</x:v>
      </x:c>
      <x:c r="I33" s="48" t="n">
        <x:v>65</x:v>
      </x:c>
      <x:c r="J33" t="str"/>
    </x:row>
    <x:row r="34">
      <x:c r="A34" t="str">
        <x:v>Bhandara</x:v>
      </x:c>
      <x:c r="B34" t="str">
        <x:v>Bhandara</x:v>
      </x:c>
      <x:c r="C34" t="n">
        <x:v>2001</x:v>
      </x:c>
      <x:c r="D34" t="n">
        <x:v>573445</x:v>
      </x:c>
      <x:c r="E34" t="n">
        <x:v>562701</x:v>
      </x:c>
      <x:c r="F34" s="47" t="n">
        <x:v>1136146</x:v>
      </x:c>
      <x:c r="G34" t="n">
        <x:v>278</x:v>
      </x:c>
      <x:c r="H34" t="n">
        <x:v>981</x:v>
      </x:c>
      <x:c r="I34" s="48" t="n">
        <x:v>78</x:v>
      </x:c>
      <x:c r="J34" t="str"/>
    </x:row>
    <x:row r="35">
      <x:c r="A35" t="str">
        <x:v>Bhandara</x:v>
      </x:c>
      <x:c r="B35" t="str">
        <x:v>Bhandara</x:v>
      </x:c>
      <x:c r="C35" t="n">
        <x:v>2011</x:v>
      </x:c>
      <x:c r="D35" t="n">
        <x:v>605520</x:v>
      </x:c>
      <x:c r="E35" t="n">
        <x:v>594814</x:v>
      </x:c>
      <x:c r="F35" s="47" t="n">
        <x:v>1200334</x:v>
      </x:c>
      <x:c r="G35" t="n">
        <x:v>294</x:v>
      </x:c>
      <x:c r="H35" t="n">
        <x:v>982</x:v>
      </x:c>
      <x:c r="I35" s="48" t="n">
        <x:v>84</x:v>
      </x:c>
      <x:c r="J35" t="str"/>
    </x:row>
    <x:row r="36">
      <x:c r="A36" t="str">
        <x:v>Gondia</x:v>
      </x:c>
      <x:c r="B36" t="str">
        <x:v>Gondiya</x:v>
      </x:c>
      <x:c r="C36" t="n">
        <x:v>1991</x:v>
      </x:c>
      <x:c r="D36"/>
      <x:c r="E36"/>
      <x:c r="F36" s="47"/>
      <x:c r="G36"/>
      <x:c r="H36"/>
      <x:c r="I36" s="48"/>
      <x:c r="J36" t="str">
        <x:v>Not available in uploaded source</x:v>
      </x:c>
    </x:row>
    <x:row r="37">
      <x:c r="A37" t="str">
        <x:v>Gondia</x:v>
      </x:c>
      <x:c r="B37" t="str">
        <x:v>Gondiya</x:v>
      </x:c>
      <x:c r="C37" t="n">
        <x:v>2001</x:v>
      </x:c>
      <x:c r="D37" t="n">
        <x:v>598834</x:v>
      </x:c>
      <x:c r="E37" t="n">
        <x:v>601873</x:v>
      </x:c>
      <x:c r="F37" s="47" t="n">
        <x:v>1200707</x:v>
      </x:c>
      <x:c r="G37" t="n">
        <x:v>229</x:v>
      </x:c>
      <x:c r="H37" t="n">
        <x:v>1005</x:v>
      </x:c>
      <x:c r="I37" s="48" t="n">
        <x:v>79</x:v>
      </x:c>
      <x:c r="J37" t="str"/>
    </x:row>
    <x:row r="38">
      <x:c r="A38" t="str">
        <x:v>Gondia</x:v>
      </x:c>
      <x:c r="B38" t="str">
        <x:v>Gondiya</x:v>
      </x:c>
      <x:c r="C38" t="n">
        <x:v>2011</x:v>
      </x:c>
      <x:c r="D38" t="n">
        <x:v>661554</x:v>
      </x:c>
      <x:c r="E38" t="n">
        <x:v>660953</x:v>
      </x:c>
      <x:c r="F38" s="47" t="n">
        <x:v>1322507</x:v>
      </x:c>
      <x:c r="G38" t="n">
        <x:v>253</x:v>
      </x:c>
      <x:c r="H38" t="n">
        <x:v>999</x:v>
      </x:c>
      <x:c r="I38" s="48" t="n">
        <x:v>85</x:v>
      </x:c>
      <x:c r="J38" t="str"/>
    </x:row>
    <x:row r="39">
      <x:c r="A39" t="str">
        <x:v>Gadchiroli</x:v>
      </x:c>
      <x:c r="B39" t="str">
        <x:v>Gadchiroli</x:v>
      </x:c>
      <x:c r="C39" t="n">
        <x:v>1991</x:v>
      </x:c>
      <x:c r="D39" t="n">
        <x:v>398364</x:v>
      </x:c>
      <x:c r="E39" t="n">
        <x:v>388646</x:v>
      </x:c>
      <x:c r="F39" s="47" t="n">
        <x:v>787010</x:v>
      </x:c>
      <x:c r="G39" t="n">
        <x:v>55</x:v>
      </x:c>
      <x:c r="H39" t="n">
        <x:v>976</x:v>
      </x:c>
      <x:c r="I39" s="48" t="n">
        <x:v>43</x:v>
      </x:c>
      <x:c r="J39" t="str"/>
    </x:row>
    <x:row r="40">
      <x:c r="A40" t="str">
        <x:v>Gadchiroli</x:v>
      </x:c>
      <x:c r="B40" t="str">
        <x:v>Gadchiroli</x:v>
      </x:c>
      <x:c r="C40" t="n">
        <x:v>2001</x:v>
      </x:c>
      <x:c r="D40" t="n">
        <x:v>491101</x:v>
      </x:c>
      <x:c r="E40" t="n">
        <x:v>479193</x:v>
      </x:c>
      <x:c r="F40" s="47" t="n">
        <x:v>970294</x:v>
      </x:c>
      <x:c r="G40" t="n">
        <x:v>67</x:v>
      </x:c>
      <x:c r="H40" t="n">
        <x:v>976</x:v>
      </x:c>
      <x:c r="I40" s="48" t="n">
        <x:v>60</x:v>
      </x:c>
      <x:c r="J40" t="str"/>
    </x:row>
    <x:row r="41">
      <x:c r="A41" t="str">
        <x:v>Gadchiroli</x:v>
      </x:c>
      <x:c r="B41" t="str">
        <x:v>Gadchiroli</x:v>
      </x:c>
      <x:c r="C41" t="n">
        <x:v>2011</x:v>
      </x:c>
      <x:c r="D41" t="n">
        <x:v>541328</x:v>
      </x:c>
      <x:c r="E41" t="n">
        <x:v>531614</x:v>
      </x:c>
      <x:c r="F41" s="47" t="n">
        <x:v>1072942</x:v>
      </x:c>
      <x:c r="G41" t="n">
        <x:v>74</x:v>
      </x:c>
      <x:c r="H41" t="n">
        <x:v>982</x:v>
      </x:c>
      <x:c r="I41" s="48" t="n">
        <x:v>74</x:v>
      </x:c>
      <x:c r="J41" t="str"/>
    </x:row>
    <x:row r="42">
      <x:c r="A42" t="str">
        <x:v>Chandrapur</x:v>
      </x:c>
      <x:c r="B42" t="str">
        <x:v>Chandrapur</x:v>
      </x:c>
      <x:c r="C42" t="n">
        <x:v>1991</x:v>
      </x:c>
      <x:c r="D42" t="n">
        <x:v>909787</x:v>
      </x:c>
      <x:c r="E42" t="n">
        <x:v>862207</x:v>
      </x:c>
      <x:c r="F42" s="47" t="n">
        <x:v>1771994</x:v>
      </x:c>
      <x:c r="G42" t="n">
        <x:v>155</x:v>
      </x:c>
      <x:c r="H42" t="n">
        <x:v>948</x:v>
      </x:c>
      <x:c r="I42" s="48" t="n">
        <x:v>59</x:v>
      </x:c>
      <x:c r="J42" t="str"/>
    </x:row>
    <x:row r="43">
      <x:c r="A43" t="str">
        <x:v>Chandrapur</x:v>
      </x:c>
      <x:c r="B43" t="str">
        <x:v>Chandrapur</x:v>
      </x:c>
      <x:c r="C43" t="n">
        <x:v>2001</x:v>
      </x:c>
      <x:c r="D43" t="n">
        <x:v>1062993</x:v>
      </x:c>
      <x:c r="E43" t="n">
        <x:v>1008108</x:v>
      </x:c>
      <x:c r="F43" s="47" t="n">
        <x:v>2071101</x:v>
      </x:c>
      <x:c r="G43" t="n">
        <x:v>181</x:v>
      </x:c>
      <x:c r="H43" t="n">
        <x:v>948</x:v>
      </x:c>
      <x:c r="I43" s="48" t="n">
        <x:v>73</x:v>
      </x:c>
      <x:c r="J43" t="str"/>
    </x:row>
    <x:row r="44">
      <x:c r="A44" t="str">
        <x:v>Chandrapur</x:v>
      </x:c>
      <x:c r="B44" t="str">
        <x:v>Chandrapur</x:v>
      </x:c>
      <x:c r="C44" t="n">
        <x:v>2011</x:v>
      </x:c>
      <x:c r="D44" t="n">
        <x:v>1123834</x:v>
      </x:c>
      <x:c r="E44" t="n">
        <x:v>1080473</x:v>
      </x:c>
      <x:c r="F44" s="47" t="n">
        <x:v>2204307</x:v>
      </x:c>
      <x:c r="G44" t="n">
        <x:v>193</x:v>
      </x:c>
      <x:c r="H44" t="n">
        <x:v>961</x:v>
      </x:c>
      <x:c r="I44" s="48" t="n">
        <x:v>80</x:v>
      </x:c>
      <x:c r="J44" t="str"/>
    </x:row>
    <x:row r="45">
      <x:c r="A45" t="str">
        <x:v>Yavatmal</x:v>
      </x:c>
      <x:c r="B45" t="str">
        <x:v>Yavatmal</x:v>
      </x:c>
      <x:c r="C45" t="n">
        <x:v>1991</x:v>
      </x:c>
      <x:c r="D45" t="n">
        <x:v>1064422</x:v>
      </x:c>
      <x:c r="E45" t="n">
        <x:v>1012722</x:v>
      </x:c>
      <x:c r="F45" s="47" t="n">
        <x:v>2077144</x:v>
      </x:c>
      <x:c r="G45" t="n">
        <x:v>153</x:v>
      </x:c>
      <x:c r="H45" t="n">
        <x:v>951</x:v>
      </x:c>
      <x:c r="I45" s="48" t="n">
        <x:v>58</x:v>
      </x:c>
      <x:c r="J45" t="str"/>
    </x:row>
    <x:row r="46">
      <x:c r="A46" t="str">
        <x:v>Yavatmal</x:v>
      </x:c>
      <x:c r="B46" t="str">
        <x:v>Yavatmal</x:v>
      </x:c>
      <x:c r="C46" t="n">
        <x:v>2001</x:v>
      </x:c>
      <x:c r="D46" t="n">
        <x:v>1265681</x:v>
      </x:c>
      <x:c r="E46" t="n">
        <x:v>1192590</x:v>
      </x:c>
      <x:c r="F46" s="47" t="n">
        <x:v>2458271</x:v>
      </x:c>
      <x:c r="G46" t="n">
        <x:v>181</x:v>
      </x:c>
      <x:c r="H46" t="n">
        <x:v>942</x:v>
      </x:c>
      <x:c r="I46" s="48" t="n">
        <x:v>74</x:v>
      </x:c>
      <x:c r="J46" t="str"/>
    </x:row>
    <x:row r="47">
      <x:c r="A47" t="str">
        <x:v>Yavatmal</x:v>
      </x:c>
      <x:c r="B47" t="str">
        <x:v>Yavatmal</x:v>
      </x:c>
      <x:c r="C47" t="n">
        <x:v>2011</x:v>
      </x:c>
      <x:c r="D47" t="n">
        <x:v>1419965</x:v>
      </x:c>
      <x:c r="E47" t="n">
        <x:v>1352383</x:v>
      </x:c>
      <x:c r="F47" s="47" t="n">
        <x:v>2772348</x:v>
      </x:c>
      <x:c r="G47" t="n">
        <x:v>204</x:v>
      </x:c>
      <x:c r="H47" t="n">
        <x:v>952</x:v>
      </x:c>
      <x:c r="I47" s="48" t="n">
        <x:v>83</x:v>
      </x:c>
      <x:c r="J47" t="str"/>
    </x:row>
    <x:row r="48">
      <x:c r="A48" t="str">
        <x:v>Nanded</x:v>
      </x:c>
      <x:c r="B48" t="str">
        <x:v>Nanden</x:v>
      </x:c>
      <x:c r="C48" t="n">
        <x:v>1991</x:v>
      </x:c>
      <x:c r="D48" t="n">
        <x:v>1197876</x:v>
      </x:c>
      <x:c r="E48" t="n">
        <x:v>1132498</x:v>
      </x:c>
      <x:c r="F48" s="47" t="n">
        <x:v>2330374</x:v>
      </x:c>
      <x:c r="G48" t="n">
        <x:v>221</x:v>
      </x:c>
      <x:c r="H48" t="n">
        <x:v>945</x:v>
      </x:c>
      <x:c r="I48" s="48" t="n">
        <x:v>48</x:v>
      </x:c>
      <x:c r="J48" t="str"/>
    </x:row>
    <x:row r="49">
      <x:c r="A49" t="str">
        <x:v>Nanded</x:v>
      </x:c>
      <x:c r="B49" t="str">
        <x:v>Nanden</x:v>
      </x:c>
      <x:c r="C49" t="n">
        <x:v>2001</x:v>
      </x:c>
      <x:c r="D49" t="n">
        <x:v>1481358</x:v>
      </x:c>
      <x:c r="E49" t="n">
        <x:v>1394901</x:v>
      </x:c>
      <x:c r="F49" s="47" t="n">
        <x:v>2876259</x:v>
      </x:c>
      <x:c r="G49" t="n">
        <x:v>273</x:v>
      </x:c>
      <x:c r="H49" t="n">
        <x:v>942</x:v>
      </x:c>
      <x:c r="I49" s="48" t="n">
        <x:v>68</x:v>
      </x:c>
      <x:c r="J49" t="str"/>
    </x:row>
    <x:row r="50">
      <x:c r="A50" t="str">
        <x:v>Nanded</x:v>
      </x:c>
      <x:c r="B50" t="str">
        <x:v>Nanden</x:v>
      </x:c>
      <x:c r="C50" t="n">
        <x:v>2011</x:v>
      </x:c>
      <x:c r="D50" t="n">
        <x:v>1730075</x:v>
      </x:c>
      <x:c r="E50" t="n">
        <x:v>1631217</x:v>
      </x:c>
      <x:c r="F50" s="47" t="n">
        <x:v>3361292</x:v>
      </x:c>
      <x:c r="G50" t="n">
        <x:v>319</x:v>
      </x:c>
      <x:c r="H50" t="n">
        <x:v>943</x:v>
      </x:c>
      <x:c r="I50" s="48" t="n">
        <x:v>75</x:v>
      </x:c>
      <x:c r="J50" t="str"/>
    </x:row>
    <x:row r="51">
      <x:c r="A51" t="str">
        <x:v>Hingoli</x:v>
      </x:c>
      <x:c r="B51" t="str">
        <x:v>Hingoli</x:v>
      </x:c>
      <x:c r="C51" t="n">
        <x:v>1991</x:v>
      </x:c>
      <x:c r="D51"/>
      <x:c r="E51"/>
      <x:c r="F51" s="47"/>
      <x:c r="G51"/>
      <x:c r="H51"/>
      <x:c r="I51" s="48"/>
      <x:c r="J51" t="str">
        <x:v>Not available in uploaded source</x:v>
      </x:c>
    </x:row>
    <x:row r="52">
      <x:c r="A52" t="str">
        <x:v>Hingoli</x:v>
      </x:c>
      <x:c r="B52" t="str">
        <x:v>Hingoli</x:v>
      </x:c>
      <x:c r="C52" t="n">
        <x:v>2001</x:v>
      </x:c>
      <x:c r="D52" t="n">
        <x:v>505373</x:v>
      </x:c>
      <x:c r="E52" t="n">
        <x:v>481787</x:v>
      </x:c>
      <x:c r="F52" s="47" t="n">
        <x:v>987160</x:v>
      </x:c>
      <x:c r="G52" t="n">
        <x:v>205</x:v>
      </x:c>
      <x:c r="H52" t="n">
        <x:v>953</x:v>
      </x:c>
      <x:c r="I52" s="48" t="n">
        <x:v>66</x:v>
      </x:c>
      <x:c r="J52" t="str"/>
    </x:row>
    <x:row r="53">
      <x:c r="A53" t="str">
        <x:v>Hingoli</x:v>
      </x:c>
      <x:c r="B53" t="str">
        <x:v>Hingoli</x:v>
      </x:c>
      <x:c r="C53" t="n">
        <x:v>2011</x:v>
      </x:c>
      <x:c r="D53" t="n">
        <x:v>606294</x:v>
      </x:c>
      <x:c r="E53" t="n">
        <x:v>571051</x:v>
      </x:c>
      <x:c r="F53" s="47" t="n">
        <x:v>1177345</x:v>
      </x:c>
      <x:c r="G53" t="n">
        <x:v>244</x:v>
      </x:c>
      <x:c r="H53" t="n">
        <x:v>942</x:v>
      </x:c>
      <x:c r="I53" s="48" t="n">
        <x:v>78</x:v>
      </x:c>
      <x:c r="J53" t="str"/>
    </x:row>
    <x:row r="54">
      <x:c r="A54" t="str">
        <x:v>Parbhani</x:v>
      </x:c>
      <x:c r="B54" t="str">
        <x:v>Parbhani</x:v>
      </x:c>
      <x:c r="C54" t="n">
        <x:v>1991</x:v>
      </x:c>
      <x:c r="D54" t="n">
        <x:v>1083794</x:v>
      </x:c>
      <x:c r="E54" t="n">
        <x:v>1033241</x:v>
      </x:c>
      <x:c r="F54" s="47" t="n">
        <x:v>2117035</x:v>
      </x:c>
      <x:c r="G54" t="n">
        <x:v>341</x:v>
      </x:c>
      <x:c r="H54" t="n">
        <x:v>953</x:v>
      </x:c>
      <x:c r="I54" s="48" t="n">
        <x:v>48</x:v>
      </x:c>
      <x:c r="J54" t="str"/>
    </x:row>
    <x:row r="55">
      <x:c r="A55" t="str">
        <x:v>Parbhani</x:v>
      </x:c>
      <x:c r="B55" t="str">
        <x:v>Parbhani</x:v>
      </x:c>
      <x:c r="C55" t="n">
        <x:v>2001</x:v>
      </x:c>
      <x:c r="D55" t="n">
        <x:v>780191</x:v>
      </x:c>
      <x:c r="E55" t="n">
        <x:v>747524</x:v>
      </x:c>
      <x:c r="F55" s="47" t="n">
        <x:v>1527715</x:v>
      </x:c>
      <x:c r="G55" t="n">
        <x:v>246</x:v>
      </x:c>
      <x:c r="H55" t="n">
        <x:v>958</x:v>
      </x:c>
      <x:c r="I55" s="48" t="n">
        <x:v>66</x:v>
      </x:c>
      <x:c r="J55" t="str"/>
    </x:row>
    <x:row r="56">
      <x:c r="A56" t="str">
        <x:v>Parbhani</x:v>
      </x:c>
      <x:c r="B56" t="str">
        <x:v>Parbhani</x:v>
      </x:c>
      <x:c r="C56" t="n">
        <x:v>2011</x:v>
      </x:c>
      <x:c r="D56" t="n">
        <x:v>942870</x:v>
      </x:c>
      <x:c r="E56" t="n">
        <x:v>893216</x:v>
      </x:c>
      <x:c r="F56" s="47" t="n">
        <x:v>1836086</x:v>
      </x:c>
      <x:c r="G56" t="n">
        <x:v>295</x:v>
      </x:c>
      <x:c r="H56" t="n">
        <x:v>947</x:v>
      </x:c>
      <x:c r="I56" s="48" t="n">
        <x:v>73</x:v>
      </x:c>
      <x:c r="J56" t="str"/>
    </x:row>
    <x:row r="57">
      <x:c r="A57" t="str">
        <x:v>Jalna</x:v>
      </x:c>
      <x:c r="B57" t="str">
        <x:v>Jalna</x:v>
      </x:c>
      <x:c r="C57" t="n">
        <x:v>1991</x:v>
      </x:c>
      <x:c r="D57" t="n">
        <x:v>696798</x:v>
      </x:c>
      <x:c r="E57" t="n">
        <x:v>667627</x:v>
      </x:c>
      <x:c r="F57" s="47" t="n">
        <x:v>1364425</x:v>
      </x:c>
      <x:c r="G57" t="n">
        <x:v>177</x:v>
      </x:c>
      <x:c r="H57" t="n">
        <x:v>958</x:v>
      </x:c>
      <x:c r="I57" s="48" t="n">
        <x:v>46</x:v>
      </x:c>
      <x:c r="J57" t="str"/>
    </x:row>
    <x:row r="58">
      <x:c r="A58" t="str">
        <x:v>Jalna</x:v>
      </x:c>
      <x:c r="B58" t="str">
        <x:v>Jalna</x:v>
      </x:c>
      <x:c r="C58" t="n">
        <x:v>2001</x:v>
      </x:c>
      <x:c r="D58" t="n">
        <x:v>826903</x:v>
      </x:c>
      <x:c r="E58" t="n">
        <x:v>786077</x:v>
      </x:c>
      <x:c r="F58" s="47" t="n">
        <x:v>1612980</x:v>
      </x:c>
      <x:c r="G58" t="n">
        <x:v>210</x:v>
      </x:c>
      <x:c r="H58" t="n">
        <x:v>951</x:v>
      </x:c>
      <x:c r="I58" s="48" t="n">
        <x:v>64</x:v>
      </x:c>
      <x:c r="J58" t="str"/>
    </x:row>
    <x:row r="59">
      <x:c r="A59" t="str">
        <x:v>Jalna</x:v>
      </x:c>
      <x:c r="B59" t="str">
        <x:v>Jalna</x:v>
      </x:c>
      <x:c r="C59" t="n">
        <x:v>2011</x:v>
      </x:c>
      <x:c r="D59" t="n">
        <x:v>1011473</x:v>
      </x:c>
      <x:c r="E59" t="n">
        <x:v>947573</x:v>
      </x:c>
      <x:c r="F59" s="47" t="n">
        <x:v>1959046</x:v>
      </x:c>
      <x:c r="G59" t="n">
        <x:v>255</x:v>
      </x:c>
      <x:c r="H59" t="n">
        <x:v>937</x:v>
      </x:c>
      <x:c r="I59" s="48" t="n">
        <x:v>72</x:v>
      </x:c>
      <x:c r="J59" t="str"/>
    </x:row>
    <x:row r="60">
      <x:c r="A60" t="str">
        <x:v>Chhatrapati Sambhajinagar</x:v>
      </x:c>
      <x:c r="B60" t="str">
        <x:v>Aurangabad</x:v>
      </x:c>
      <x:c r="C60" t="n">
        <x:v>1991</x:v>
      </x:c>
      <x:c r="D60" t="n">
        <x:v>1151693</x:v>
      </x:c>
      <x:c r="E60" t="n">
        <x:v>1062086</x:v>
      </x:c>
      <x:c r="F60" s="47" t="n">
        <x:v>2213779</x:v>
      </x:c>
      <x:c r="G60" t="n">
        <x:v>218</x:v>
      </x:c>
      <x:c r="H60" t="n">
        <x:v>922</x:v>
      </x:c>
      <x:c r="I60" s="48" t="n">
        <x:v>57</x:v>
      </x:c>
      <x:c r="J60" t="str"/>
    </x:row>
    <x:row r="61">
      <x:c r="A61" t="str">
        <x:v>Chhatrapati Sambhajinagar</x:v>
      </x:c>
      <x:c r="B61" t="str">
        <x:v>Aurangabad</x:v>
      </x:c>
      <x:c r="C61" t="n">
        <x:v>2001</x:v>
      </x:c>
      <x:c r="D61" t="n">
        <x:v>1505363</x:v>
      </x:c>
      <x:c r="E61" t="n">
        <x:v>1391650</x:v>
      </x:c>
      <x:c r="F61" s="47" t="n">
        <x:v>2897013</x:v>
      </x:c>
      <x:c r="G61" t="n">
        <x:v>286</x:v>
      </x:c>
      <x:c r="H61" t="n">
        <x:v>924</x:v>
      </x:c>
      <x:c r="I61" s="48" t="n">
        <x:v>73</x:v>
      </x:c>
      <x:c r="J61" t="str"/>
    </x:row>
    <x:row r="62">
      <x:c r="A62" t="str">
        <x:v>Chhatrapati Sambhajinagar</x:v>
      </x:c>
      <x:c r="B62" t="str">
        <x:v>Aurangabad</x:v>
      </x:c>
      <x:c r="C62" t="n">
        <x:v>2011</x:v>
      </x:c>
      <x:c r="D62" t="n">
        <x:v>1924469</x:v>
      </x:c>
      <x:c r="E62" t="n">
        <x:v>1776813</x:v>
      </x:c>
      <x:c r="F62" s="47" t="n">
        <x:v>3701282</x:v>
      </x:c>
      <x:c r="G62" t="n">
        <x:v>365</x:v>
      </x:c>
      <x:c r="H62" t="n">
        <x:v>923</x:v>
      </x:c>
      <x:c r="I62" s="48" t="n">
        <x:v>79</x:v>
      </x:c>
      <x:c r="J62" t="str"/>
    </x:row>
    <x:row r="63">
      <x:c r="A63" t="str">
        <x:v>Nashik</x:v>
      </x:c>
      <x:c r="B63" t="str">
        <x:v>Nashik</x:v>
      </x:c>
      <x:c r="C63" t="n">
        <x:v>1991</x:v>
      </x:c>
      <x:c r="D63" t="n">
        <x:v>1984973</x:v>
      </x:c>
      <x:c r="E63" t="n">
        <x:v>1866379</x:v>
      </x:c>
      <x:c r="F63" s="47" t="n">
        <x:v>3851352</x:v>
      </x:c>
      <x:c r="G63" t="n">
        <x:v>248</x:v>
      </x:c>
      <x:c r="H63" t="n">
        <x:v>940</x:v>
      </x:c>
      <x:c r="I63" s="48" t="n">
        <x:v>62</x:v>
      </x:c>
      <x:c r="J63" t="str"/>
    </x:row>
    <x:row r="64">
      <x:c r="A64" t="str">
        <x:v>Nashik</x:v>
      </x:c>
      <x:c r="B64" t="str">
        <x:v>Nashik</x:v>
      </x:c>
      <x:c r="C64" t="n">
        <x:v>2001</x:v>
      </x:c>
      <x:c r="D64" t="n">
        <x:v>2590912</x:v>
      </x:c>
      <x:c r="E64" t="n">
        <x:v>2402884</x:v>
      </x:c>
      <x:c r="F64" s="47" t="n">
        <x:v>4993796</x:v>
      </x:c>
      <x:c r="G64" t="n">
        <x:v>322</x:v>
      </x:c>
      <x:c r="H64" t="n">
        <x:v>927</x:v>
      </x:c>
      <x:c r="I64" s="48" t="n">
        <x:v>74</x:v>
      </x:c>
      <x:c r="J64" t="str"/>
    </x:row>
    <x:row r="65">
      <x:c r="A65" t="str">
        <x:v>Nashik</x:v>
      </x:c>
      <x:c r="B65" t="str">
        <x:v>Nashik</x:v>
      </x:c>
      <x:c r="C65" t="n">
        <x:v>2011</x:v>
      </x:c>
      <x:c r="D65" t="n">
        <x:v>3157186</x:v>
      </x:c>
      <x:c r="E65" t="n">
        <x:v>2950001</x:v>
      </x:c>
      <x:c r="F65" s="47" t="n">
        <x:v>6107187</x:v>
      </x:c>
      <x:c r="G65" t="n">
        <x:v>393</x:v>
      </x:c>
      <x:c r="H65" t="n">
        <x:v>934</x:v>
      </x:c>
      <x:c r="I65" s="48" t="n">
        <x:v>82</x:v>
      </x:c>
      <x:c r="J65" t="str"/>
    </x:row>
    <x:row r="66">
      <x:c r="A66" t="str">
        <x:v>Thane</x:v>
      </x:c>
      <x:c r="B66" t="str">
        <x:v>Thane</x:v>
      </x:c>
      <x:c r="C66" t="n">
        <x:v>1991</x:v>
      </x:c>
      <x:c r="D66" t="n">
        <x:v>2792874</x:v>
      </x:c>
      <x:c r="E66" t="n">
        <x:v>2456252</x:v>
      </x:c>
      <x:c r="F66" s="47" t="n">
        <x:v>5249126</x:v>
      </x:c>
      <x:c r="G66" t="n">
        <x:v>549</x:v>
      </x:c>
      <x:c r="H66" t="n">
        <x:v>879</x:v>
      </x:c>
      <x:c r="I66" s="48" t="n">
        <x:v>70</x:v>
      </x:c>
      <x:c r="J66" t="str">
        <x:v>2011 boundaries: Thane population includes territory later separated as Palghar</x:v>
      </x:c>
    </x:row>
    <x:row r="67">
      <x:c r="A67" t="str">
        <x:v>Thane</x:v>
      </x:c>
      <x:c r="B67" t="str">
        <x:v>Thane</x:v>
      </x:c>
      <x:c r="C67" t="n">
        <x:v>2001</x:v>
      </x:c>
      <x:c r="D67" t="n">
        <x:v>4377747</x:v>
      </x:c>
      <x:c r="E67" t="n">
        <x:v>3754102</x:v>
      </x:c>
      <x:c r="F67" s="47" t="n">
        <x:v>8131849</x:v>
      </x:c>
      <x:c r="G67" t="n">
        <x:v>851</x:v>
      </x:c>
      <x:c r="H67" t="n">
        <x:v>858</x:v>
      </x:c>
      <x:c r="I67" s="48" t="n">
        <x:v>81</x:v>
      </x:c>
      <x:c r="J67" t="str">
        <x:v>2011 boundaries: Thane population includes territory later separated as Palghar</x:v>
      </x:c>
    </x:row>
    <x:row r="68">
      <x:c r="A68" t="str">
        <x:v>Thane</x:v>
      </x:c>
      <x:c r="B68" t="str">
        <x:v>Thane</x:v>
      </x:c>
      <x:c r="C68" t="n">
        <x:v>2011</x:v>
      </x:c>
      <x:c r="D68" t="n">
        <x:v>5865078</x:v>
      </x:c>
      <x:c r="E68" t="n">
        <x:v>5195070</x:v>
      </x:c>
      <x:c r="F68" s="47" t="n">
        <x:v>11060148</x:v>
      </x:c>
      <x:c r="G68" t="n">
        <x:v>1157</x:v>
      </x:c>
      <x:c r="H68" t="n">
        <x:v>886</x:v>
      </x:c>
      <x:c r="I68" s="48" t="n">
        <x:v>85</x:v>
      </x:c>
      <x:c r="J68" t="str">
        <x:v>2011 boundaries: Thane population includes territory later separated as Palghar</x:v>
      </x:c>
    </x:row>
    <x:row r="69">
      <x:c r="A69" t="str">
        <x:v>Mumbai Suburban</x:v>
      </x:c>
      <x:c r="B69" t="str">
        <x:v>Mumbai Suburban</x:v>
      </x:c>
      <x:c r="C69" t="n">
        <x:v>1991</x:v>
      </x:c>
      <x:c r="D69"/>
      <x:c r="E69"/>
      <x:c r="F69" s="47"/>
      <x:c r="G69"/>
      <x:c r="H69"/>
      <x:c r="I69" s="48"/>
      <x:c r="J69" t="str">
        <x:v>Not available in uploaded source</x:v>
      </x:c>
    </x:row>
    <x:row r="70">
      <x:c r="A70" t="str">
        <x:v>Mumbai Suburban</x:v>
      </x:c>
      <x:c r="B70" t="str">
        <x:v>Mumbai Suburban</x:v>
      </x:c>
      <x:c r="C70" t="n">
        <x:v>2001</x:v>
      </x:c>
      <x:c r="D70" t="n">
        <x:v>4741720</x:v>
      </x:c>
      <x:c r="E70" t="n">
        <x:v>3898699</x:v>
      </x:c>
      <x:c r="F70" s="47" t="n">
        <x:v>8640419</x:v>
      </x:c>
      <x:c r="G70" t="n">
        <x:v>19373</x:v>
      </x:c>
      <x:c r="H70" t="n">
        <x:v>822</x:v>
      </x:c>
      <x:c r="I70" s="48" t="n">
        <x:v>87</x:v>
      </x:c>
      <x:c r="J70" t="str"/>
    </x:row>
    <x:row r="71">
      <x:c r="A71" t="str">
        <x:v>Mumbai Suburban</x:v>
      </x:c>
      <x:c r="B71" t="str">
        <x:v>Mumbai Suburban</x:v>
      </x:c>
      <x:c r="C71" t="n">
        <x:v>2011</x:v>
      </x:c>
      <x:c r="D71" t="n">
        <x:v>5031323</x:v>
      </x:c>
      <x:c r="E71" t="n">
        <x:v>4325639</x:v>
      </x:c>
      <x:c r="F71" s="47" t="n">
        <x:v>9356962</x:v>
      </x:c>
      <x:c r="G71" t="n">
        <x:v>20980</x:v>
      </x:c>
      <x:c r="H71" t="n">
        <x:v>860</x:v>
      </x:c>
      <x:c r="I71" s="48" t="n">
        <x:v>90</x:v>
      </x:c>
      <x:c r="J71" t="str"/>
    </x:row>
    <x:row r="72">
      <x:c r="A72" t="str">
        <x:v>Mumbai City</x:v>
      </x:c>
      <x:c r="B72" t="str">
        <x:v>Mumbai</x:v>
      </x:c>
      <x:c r="C72" t="n">
        <x:v>1991</x:v>
      </x:c>
      <x:c r="D72" t="n">
        <x:v>5460145</x:v>
      </x:c>
      <x:c r="E72" t="n">
        <x:v>4465746</x:v>
      </x:c>
      <x:c r="F72" s="47" t="n">
        <x:v>9925891</x:v>
      </x:c>
      <x:c r="G72" t="n">
        <x:v>63222</x:v>
      </x:c>
      <x:c r="H72" t="n">
        <x:v>818</x:v>
      </x:c>
      <x:c r="I72" s="48" t="n">
        <x:v>83</x:v>
      </x:c>
      <x:c r="J72" t="str">
        <x:v>Source uses Mumbai; standardized as Mumbai City</x:v>
      </x:c>
    </x:row>
    <x:row r="73">
      <x:c r="A73" t="str">
        <x:v>Mumbai City</x:v>
      </x:c>
      <x:c r="B73" t="str">
        <x:v>Mumbai</x:v>
      </x:c>
      <x:c r="C73" t="n">
        <x:v>2001</x:v>
      </x:c>
      <x:c r="D73" t="n">
        <x:v>1878246</x:v>
      </x:c>
      <x:c r="E73" t="n">
        <x:v>1459785</x:v>
      </x:c>
      <x:c r="F73" s="47" t="n">
        <x:v>3338031</x:v>
      </x:c>
      <x:c r="G73" t="n">
        <x:v>21261</x:v>
      </x:c>
      <x:c r="H73" t="n">
        <x:v>777</x:v>
      </x:c>
      <x:c r="I73" s="48" t="n">
        <x:v>86</x:v>
      </x:c>
      <x:c r="J73" t="str">
        <x:v>Source uses Mumbai; standardized as Mumbai City</x:v>
      </x:c>
    </x:row>
    <x:row r="74">
      <x:c r="A74" t="str">
        <x:v>Mumbai City</x:v>
      </x:c>
      <x:c r="B74" t="str">
        <x:v>Mumbai</x:v>
      </x:c>
      <x:c r="C74" t="n">
        <x:v>2011</x:v>
      </x:c>
      <x:c r="D74" t="n">
        <x:v>1684608</x:v>
      </x:c>
      <x:c r="E74" t="n">
        <x:v>1400803</x:v>
      </x:c>
      <x:c r="F74" s="47" t="n">
        <x:v>3085411</x:v>
      </x:c>
      <x:c r="G74" t="n">
        <x:v>19652</x:v>
      </x:c>
      <x:c r="H74" t="n">
        <x:v>832</x:v>
      </x:c>
      <x:c r="I74" s="48" t="n">
        <x:v>89</x:v>
      </x:c>
      <x:c r="J74" t="str">
        <x:v>Source uses Mumbai; standardized as Mumbai City</x:v>
      </x:c>
    </x:row>
    <x:row r="75">
      <x:c r="A75" t="str">
        <x:v>Raigad</x:v>
      </x:c>
      <x:c r="B75" t="str">
        <x:v>Raigarh</x:v>
      </x:c>
      <x:c r="C75" t="n">
        <x:v>1991</x:v>
      </x:c>
      <x:c r="D75" t="n">
        <x:v>907907</x:v>
      </x:c>
      <x:c r="E75" t="n">
        <x:v>916909</x:v>
      </x:c>
      <x:c r="F75" s="47" t="n">
        <x:v>1824816</x:v>
      </x:c>
      <x:c r="G75" t="n">
        <x:v>255</x:v>
      </x:c>
      <x:c r="H75" t="n">
        <x:v>1010</x:v>
      </x:c>
      <x:c r="I75" s="48" t="n">
        <x:v>64</x:v>
      </x:c>
      <x:c r="J75" t="str"/>
    </x:row>
    <x:row r="76">
      <x:c r="A76" t="str">
        <x:v>Raigad</x:v>
      </x:c>
      <x:c r="B76" t="str">
        <x:v>Raigarh</x:v>
      </x:c>
      <x:c r="C76" t="n">
        <x:v>2001</x:v>
      </x:c>
      <x:c r="D76" t="n">
        <x:v>1117628</x:v>
      </x:c>
      <x:c r="E76" t="n">
        <x:v>1090301</x:v>
      </x:c>
      <x:c r="F76" s="47" t="n">
        <x:v>2207929</x:v>
      </x:c>
      <x:c r="G76" t="n">
        <x:v>309</x:v>
      </x:c>
      <x:c r="H76" t="n">
        <x:v>976</x:v>
      </x:c>
      <x:c r="I76" s="48" t="n">
        <x:v>77</x:v>
      </x:c>
      <x:c r="J76" t="str"/>
    </x:row>
    <x:row r="77">
      <x:c r="A77" t="str">
        <x:v>Raigad</x:v>
      </x:c>
      <x:c r="B77" t="str">
        <x:v>Raigarh</x:v>
      </x:c>
      <x:c r="C77" t="n">
        <x:v>2011</x:v>
      </x:c>
      <x:c r="D77" t="n">
        <x:v>1344345</x:v>
      </x:c>
      <x:c r="E77" t="n">
        <x:v>1289855</x:v>
      </x:c>
      <x:c r="F77" s="47" t="n">
        <x:v>2634200</x:v>
      </x:c>
      <x:c r="G77" t="n">
        <x:v>368</x:v>
      </x:c>
      <x:c r="H77" t="n">
        <x:v>959</x:v>
      </x:c>
      <x:c r="I77" s="48" t="n">
        <x:v>83</x:v>
      </x:c>
      <x:c r="J77" t="str"/>
    </x:row>
    <x:row r="78">
      <x:c r="A78" t="str">
        <x:v>Pune</x:v>
      </x:c>
      <x:c r="B78" t="str">
        <x:v>Pune</x:v>
      </x:c>
      <x:c r="C78" t="n">
        <x:v>1991</x:v>
      </x:c>
      <x:c r="D78" t="n">
        <x:v>2861460</x:v>
      </x:c>
      <x:c r="E78" t="n">
        <x:v>2671072</x:v>
      </x:c>
      <x:c r="F78" s="47" t="n">
        <x:v>5532532</x:v>
      </x:c>
      <x:c r="G78" t="n">
        <x:v>354</x:v>
      </x:c>
      <x:c r="H78" t="n">
        <x:v>933</x:v>
      </x:c>
      <x:c r="I78" s="48" t="n">
        <x:v>71</x:v>
      </x:c>
      <x:c r="J78" t="str"/>
    </x:row>
    <x:row r="79">
      <x:c r="A79" t="str">
        <x:v>Pune</x:v>
      </x:c>
      <x:c r="B79" t="str">
        <x:v>Pune</x:v>
      </x:c>
      <x:c r="C79" t="n">
        <x:v>2001</x:v>
      </x:c>
      <x:c r="D79" t="n">
        <x:v>3769128</x:v>
      </x:c>
      <x:c r="E79" t="n">
        <x:v>3463427</x:v>
      </x:c>
      <x:c r="F79" s="47" t="n">
        <x:v>7232555</x:v>
      </x:c>
      <x:c r="G79" t="n">
        <x:v>462</x:v>
      </x:c>
      <x:c r="H79" t="n">
        <x:v>919</x:v>
      </x:c>
      <x:c r="I79" s="48" t="n">
        <x:v>80</x:v>
      </x:c>
      <x:c r="J79" t="str"/>
    </x:row>
    <x:row r="80">
      <x:c r="A80" t="str">
        <x:v>Pune</x:v>
      </x:c>
      <x:c r="B80" t="str">
        <x:v>Pune</x:v>
      </x:c>
      <x:c r="C80" t="n">
        <x:v>2011</x:v>
      </x:c>
      <x:c r="D80" t="n">
        <x:v>4924105</x:v>
      </x:c>
      <x:c r="E80" t="n">
        <x:v>4505303</x:v>
      </x:c>
      <x:c r="F80" s="47" t="n">
        <x:v>9429408</x:v>
      </x:c>
      <x:c r="G80" t="n">
        <x:v>603</x:v>
      </x:c>
      <x:c r="H80" t="n">
        <x:v>915</x:v>
      </x:c>
      <x:c r="I80" s="48" t="n">
        <x:v>86</x:v>
      </x:c>
      <x:c r="J80" t="str"/>
    </x:row>
    <x:row r="81">
      <x:c r="A81" t="str">
        <x:v>Ahilyanagar</x:v>
      </x:c>
      <x:c r="B81" t="str">
        <x:v>Ahmadnagar</x:v>
      </x:c>
      <x:c r="C81" t="n">
        <x:v>1991</x:v>
      </x:c>
      <x:c r="D81" t="n">
        <x:v>1730609</x:v>
      </x:c>
      <x:c r="E81" t="n">
        <x:v>1642326</x:v>
      </x:c>
      <x:c r="F81" s="47" t="n">
        <x:v>3372935</x:v>
      </x:c>
      <x:c r="G81" t="n">
        <x:v>198</x:v>
      </x:c>
      <x:c r="H81" t="n">
        <x:v>949</x:v>
      </x:c>
      <x:c r="I81" s="48" t="n">
        <x:v>61</x:v>
      </x:c>
      <x:c r="J81" t="str"/>
    </x:row>
    <x:row r="82">
      <x:c r="A82" t="str">
        <x:v>Ahilyanagar</x:v>
      </x:c>
      <x:c r="B82" t="str">
        <x:v>Ahmadnagar</x:v>
      </x:c>
      <x:c r="C82" t="n">
        <x:v>2001</x:v>
      </x:c>
      <x:c r="D82" t="n">
        <x:v>2083053</x:v>
      </x:c>
      <x:c r="E82" t="n">
        <x:v>1957589</x:v>
      </x:c>
      <x:c r="F82" s="47" t="n">
        <x:v>4040642</x:v>
      </x:c>
      <x:c r="G82" t="n">
        <x:v>237</x:v>
      </x:c>
      <x:c r="H82" t="n">
        <x:v>940</x:v>
      </x:c>
      <x:c r="I82" s="48" t="n">
        <x:v>75</x:v>
      </x:c>
      <x:c r="J82" t="str"/>
    </x:row>
    <x:row r="83">
      <x:c r="A83" t="str">
        <x:v>Ahilyanagar</x:v>
      </x:c>
      <x:c r="B83" t="str">
        <x:v>Ahmadnagar</x:v>
      </x:c>
      <x:c r="C83" t="n">
        <x:v>2011</x:v>
      </x:c>
      <x:c r="D83" t="n">
        <x:v>2342825</x:v>
      </x:c>
      <x:c r="E83" t="n">
        <x:v>2200334</x:v>
      </x:c>
      <x:c r="F83" s="47" t="n">
        <x:v>4543159</x:v>
      </x:c>
      <x:c r="G83" t="n">
        <x:v>266</x:v>
      </x:c>
      <x:c r="H83" t="n">
        <x:v>939</x:v>
      </x:c>
      <x:c r="I83" s="48" t="n">
        <x:v>79</x:v>
      </x:c>
      <x:c r="J83" t="str"/>
    </x:row>
    <x:row r="84">
      <x:c r="A84" t="str">
        <x:v>Beed</x:v>
      </x:c>
      <x:c r="B84" t="str">
        <x:v>Bid</x:v>
      </x:c>
      <x:c r="C84" t="n">
        <x:v>1991</x:v>
      </x:c>
      <x:c r="D84" t="n">
        <x:v>937410</x:v>
      </x:c>
      <x:c r="E84" t="n">
        <x:v>884662</x:v>
      </x:c>
      <x:c r="F84" s="47" t="n">
        <x:v>1822072</x:v>
      </x:c>
      <x:c r="G84" t="n">
        <x:v>170</x:v>
      </x:c>
      <x:c r="H84" t="n">
        <x:v>944</x:v>
      </x:c>
      <x:c r="I84" s="48" t="n">
        <x:v>50</x:v>
      </x:c>
      <x:c r="J84" t="str"/>
    </x:row>
    <x:row r="85">
      <x:c r="A85" t="str">
        <x:v>Beed</x:v>
      </x:c>
      <x:c r="B85" t="str">
        <x:v>Bid</x:v>
      </x:c>
      <x:c r="C85" t="n">
        <x:v>2001</x:v>
      </x:c>
      <x:c r="D85" t="n">
        <x:v>1116356</x:v>
      </x:c>
      <x:c r="E85" t="n">
        <x:v>1044894</x:v>
      </x:c>
      <x:c r="F85" s="47" t="n">
        <x:v>2161250</x:v>
      </x:c>
      <x:c r="G85" t="n">
        <x:v>202</x:v>
      </x:c>
      <x:c r="H85" t="n">
        <x:v>936</x:v>
      </x:c>
      <x:c r="I85" s="48" t="n">
        <x:v>68</x:v>
      </x:c>
      <x:c r="J85" t="str"/>
    </x:row>
    <x:row r="86">
      <x:c r="A86" t="str">
        <x:v>Beed</x:v>
      </x:c>
      <x:c r="B86" t="str">
        <x:v>Bid</x:v>
      </x:c>
      <x:c r="C86" t="n">
        <x:v>2011</x:v>
      </x:c>
      <x:c r="D86" t="n">
        <x:v>1349106</x:v>
      </x:c>
      <x:c r="E86" t="n">
        <x:v>1235943</x:v>
      </x:c>
      <x:c r="F86" s="47" t="n">
        <x:v>2585049</x:v>
      </x:c>
      <x:c r="G86" t="n">
        <x:v>242</x:v>
      </x:c>
      <x:c r="H86" t="n">
        <x:v>916</x:v>
      </x:c>
      <x:c r="I86" s="48" t="n">
        <x:v>77</x:v>
      </x:c>
      <x:c r="J86" t="str"/>
    </x:row>
    <x:row r="87">
      <x:c r="A87" t="str">
        <x:v>Latur</x:v>
      </x:c>
      <x:c r="B87" t="str">
        <x:v>Latur</x:v>
      </x:c>
      <x:c r="C87" t="n">
        <x:v>1991</x:v>
      </x:c>
      <x:c r="D87" t="n">
        <x:v>863203</x:v>
      </x:c>
      <x:c r="E87" t="n">
        <x:v>813438</x:v>
      </x:c>
      <x:c r="F87" s="47" t="n">
        <x:v>1676641</x:v>
      </x:c>
      <x:c r="G87" t="n">
        <x:v>234</x:v>
      </x:c>
      <x:c r="H87" t="n">
        <x:v>942</x:v>
      </x:c>
      <x:c r="I87" s="48" t="n">
        <x:v>56</x:v>
      </x:c>
      <x:c r="J87" t="str"/>
    </x:row>
    <x:row r="88">
      <x:c r="A88" t="str">
        <x:v>Latur</x:v>
      </x:c>
      <x:c r="B88" t="str">
        <x:v>Latur</x:v>
      </x:c>
      <x:c r="C88" t="n">
        <x:v>2001</x:v>
      </x:c>
      <x:c r="D88" t="n">
        <x:v>1075257</x:v>
      </x:c>
      <x:c r="E88" t="n">
        <x:v>1005028</x:v>
      </x:c>
      <x:c r="F88" s="47" t="n">
        <x:v>2080285</x:v>
      </x:c>
      <x:c r="G88" t="n">
        <x:v>291</x:v>
      </x:c>
      <x:c r="H88" t="n">
        <x:v>935</x:v>
      </x:c>
      <x:c r="I88" s="48" t="n">
        <x:v>72</x:v>
      </x:c>
      <x:c r="J88" t="str"/>
    </x:row>
    <x:row r="89">
      <x:c r="A89" t="str">
        <x:v>Latur</x:v>
      </x:c>
      <x:c r="B89" t="str">
        <x:v>Latur</x:v>
      </x:c>
      <x:c r="C89" t="n">
        <x:v>2011</x:v>
      </x:c>
      <x:c r="D89" t="n">
        <x:v>1273140</x:v>
      </x:c>
      <x:c r="E89" t="n">
        <x:v>1181056</x:v>
      </x:c>
      <x:c r="F89" s="47" t="n">
        <x:v>2454196</x:v>
      </x:c>
      <x:c r="G89" t="n">
        <x:v>343</x:v>
      </x:c>
      <x:c r="H89" t="n">
        <x:v>928</x:v>
      </x:c>
      <x:c r="I89" s="48" t="n">
        <x:v>77</x:v>
      </x:c>
      <x:c r="J89" t="str"/>
    </x:row>
    <x:row r="90">
      <x:c r="A90" t="str">
        <x:v>Dharashiv</x:v>
      </x:c>
      <x:c r="B90" t="str">
        <x:v>Osmanabad</x:v>
      </x:c>
      <x:c r="C90" t="n">
        <x:v>1991</x:v>
      </x:c>
      <x:c r="D90" t="n">
        <x:v>658896</x:v>
      </x:c>
      <x:c r="E90" t="n">
        <x:v>617431</x:v>
      </x:c>
      <x:c r="F90" s="47" t="n">
        <x:v>1276327</x:v>
      </x:c>
      <x:c r="G90" t="n">
        <x:v>169</x:v>
      </x:c>
      <x:c r="H90" t="n">
        <x:v>937</x:v>
      </x:c>
      <x:c r="I90" s="48" t="n">
        <x:v>54</x:v>
      </x:c>
      <x:c r="J90" t="str"/>
    </x:row>
    <x:row r="91">
      <x:c r="A91" t="str">
        <x:v>Dharashiv</x:v>
      </x:c>
      <x:c r="B91" t="str">
        <x:v>Osmanabad</x:v>
      </x:c>
      <x:c r="C91" t="n">
        <x:v>2001</x:v>
      </x:c>
      <x:c r="D91" t="n">
        <x:v>769368</x:v>
      </x:c>
      <x:c r="E91" t="n">
        <x:v>717218</x:v>
      </x:c>
      <x:c r="F91" s="47" t="n">
        <x:v>1486586</x:v>
      </x:c>
      <x:c r="G91" t="n">
        <x:v>196</x:v>
      </x:c>
      <x:c r="H91" t="n">
        <x:v>932</x:v>
      </x:c>
      <x:c r="I91" s="48" t="n">
        <x:v>69</x:v>
      </x:c>
      <x:c r="J91" t="str"/>
    </x:row>
    <x:row r="92">
      <x:c r="A92" t="str">
        <x:v>Dharashiv</x:v>
      </x:c>
      <x:c r="B92" t="str">
        <x:v>Osmanabad</x:v>
      </x:c>
      <x:c r="C92" t="n">
        <x:v>2011</x:v>
      </x:c>
      <x:c r="D92" t="n">
        <x:v>861535</x:v>
      </x:c>
      <x:c r="E92" t="n">
        <x:v>796041</x:v>
      </x:c>
      <x:c r="F92" s="47" t="n">
        <x:v>1657576</x:v>
      </x:c>
      <x:c r="G92" t="n">
        <x:v>219</x:v>
      </x:c>
      <x:c r="H92" t="n">
        <x:v>924</x:v>
      </x:c>
      <x:c r="I92" s="48" t="n">
        <x:v>78</x:v>
      </x:c>
      <x:c r="J92" t="str"/>
    </x:row>
    <x:row r="93">
      <x:c r="A93" t="str">
        <x:v>Solapur</x:v>
      </x:c>
      <x:c r="B93" t="str">
        <x:v>Solapur</x:v>
      </x:c>
      <x:c r="C93" t="n">
        <x:v>1991</x:v>
      </x:c>
      <x:c r="D93" t="n">
        <x:v>1670516</x:v>
      </x:c>
      <x:c r="E93" t="n">
        <x:v>1560541</x:v>
      </x:c>
      <x:c r="F93" s="47" t="n">
        <x:v>3231057</x:v>
      </x:c>
      <x:c r="G93" t="n">
        <x:v>217</x:v>
      </x:c>
      <x:c r="H93" t="n">
        <x:v>934</x:v>
      </x:c>
      <x:c r="I93" s="48" t="n">
        <x:v>56</x:v>
      </x:c>
      <x:c r="J93" t="str"/>
    </x:row>
    <x:row r="94">
      <x:c r="A94" t="str">
        <x:v>Solapur</x:v>
      </x:c>
      <x:c r="B94" t="str">
        <x:v>Solapur</x:v>
      </x:c>
      <x:c r="C94" t="n">
        <x:v>2001</x:v>
      </x:c>
      <x:c r="D94" t="n">
        <x:v>1989623</x:v>
      </x:c>
      <x:c r="E94" t="n">
        <x:v>1859920</x:v>
      </x:c>
      <x:c r="F94" s="47" t="n">
        <x:v>3849543</x:v>
      </x:c>
      <x:c r="G94" t="n">
        <x:v>258</x:v>
      </x:c>
      <x:c r="H94" t="n">
        <x:v>935</x:v>
      </x:c>
      <x:c r="I94" s="48" t="n">
        <x:v>71</x:v>
      </x:c>
      <x:c r="J94" t="str"/>
    </x:row>
    <x:row r="95">
      <x:c r="A95" t="str">
        <x:v>Solapur</x:v>
      </x:c>
      <x:c r="B95" t="str">
        <x:v>Solapur</x:v>
      </x:c>
      <x:c r="C95" t="n">
        <x:v>2011</x:v>
      </x:c>
      <x:c r="D95" t="n">
        <x:v>2227852</x:v>
      </x:c>
      <x:c r="E95" t="n">
        <x:v>2089904</x:v>
      </x:c>
      <x:c r="F95" s="47" t="n">
        <x:v>4317756</x:v>
      </x:c>
      <x:c r="G95" t="n">
        <x:v>290</x:v>
      </x:c>
      <x:c r="H95" t="n">
        <x:v>938</x:v>
      </x:c>
      <x:c r="I95" s="48" t="n">
        <x:v>77</x:v>
      </x:c>
      <x:c r="J95" t="str"/>
    </x:row>
    <x:row r="96">
      <x:c r="A96" t="str">
        <x:v>Satara</x:v>
      </x:c>
      <x:c r="B96" t="str">
        <x:v>Satara</x:v>
      </x:c>
      <x:c r="C96" t="n">
        <x:v>1991</x:v>
      </x:c>
      <x:c r="D96" t="n">
        <x:v>1208375</x:v>
      </x:c>
      <x:c r="E96" t="n">
        <x:v>1242997</x:v>
      </x:c>
      <x:c r="F96" s="47" t="n">
        <x:v>2451372</x:v>
      </x:c>
      <x:c r="G96" t="n">
        <x:v>234</x:v>
      </x:c>
      <x:c r="H96" t="n">
        <x:v>1029</x:v>
      </x:c>
      <x:c r="I96" s="48" t="n">
        <x:v>67</x:v>
      </x:c>
      <x:c r="J96" t="str"/>
    </x:row>
    <x:row r="97">
      <x:c r="A97" t="str">
        <x:v>Satara</x:v>
      </x:c>
      <x:c r="B97" t="str">
        <x:v>Satara</x:v>
      </x:c>
      <x:c r="C97" t="n">
        <x:v>2001</x:v>
      </x:c>
      <x:c r="D97" t="n">
        <x:v>1408326</x:v>
      </x:c>
      <x:c r="E97" t="n">
        <x:v>1400668</x:v>
      </x:c>
      <x:c r="F97" s="47" t="n">
        <x:v>2808994</x:v>
      </x:c>
      <x:c r="G97" t="n">
        <x:v>268</x:v>
      </x:c>
      <x:c r="H97" t="n">
        <x:v>995</x:v>
      </x:c>
      <x:c r="I97" s="48" t="n">
        <x:v>78</x:v>
      </x:c>
      <x:c r="J97" t="str"/>
    </x:row>
    <x:row r="98">
      <x:c r="A98" t="str">
        <x:v>Satara</x:v>
      </x:c>
      <x:c r="B98" t="str">
        <x:v>Satara</x:v>
      </x:c>
      <x:c r="C98" t="n">
        <x:v>2011</x:v>
      </x:c>
      <x:c r="D98" t="n">
        <x:v>1510842</x:v>
      </x:c>
      <x:c r="E98" t="n">
        <x:v>1492899</x:v>
      </x:c>
      <x:c r="F98" s="47" t="n">
        <x:v>3003741</x:v>
      </x:c>
      <x:c r="G98" t="n">
        <x:v>287</x:v>
      </x:c>
      <x:c r="H98" t="n">
        <x:v>988</x:v>
      </x:c>
      <x:c r="I98" s="48" t="n">
        <x:v>83</x:v>
      </x:c>
      <x:c r="J98" t="str"/>
    </x:row>
    <x:row r="99">
      <x:c r="A99" t="str">
        <x:v>Ratnagiri</x:v>
      </x:c>
      <x:c r="B99" t="str">
        <x:v>Ratnagiri</x:v>
      </x:c>
      <x:c r="C99" t="n">
        <x:v>1991</x:v>
      </x:c>
      <x:c r="D99" t="n">
        <x:v>700190</x:v>
      </x:c>
      <x:c r="E99" t="n">
        <x:v>843867</x:v>
      </x:c>
      <x:c r="F99" s="47" t="n">
        <x:v>1544057</x:v>
      </x:c>
      <x:c r="G99" t="n">
        <x:v>188</x:v>
      </x:c>
      <x:c r="H99" t="n">
        <x:v>1205</x:v>
      </x:c>
      <x:c r="I99" s="48" t="n">
        <x:v>63</x:v>
      </x:c>
      <x:c r="J99" t="str"/>
    </x:row>
    <x:row r="100">
      <x:c r="A100" t="str">
        <x:v>Ratnagiri</x:v>
      </x:c>
      <x:c r="B100" t="str">
        <x:v>Ratnagiri</x:v>
      </x:c>
      <x:c r="C100" t="n">
        <x:v>2001</x:v>
      </x:c>
      <x:c r="D100" t="n">
        <x:v>794498</x:v>
      </x:c>
      <x:c r="E100" t="n">
        <x:v>902279</x:v>
      </x:c>
      <x:c r="F100" s="47" t="n">
        <x:v>1696777</x:v>
      </x:c>
      <x:c r="G100" t="n">
        <x:v>207</x:v>
      </x:c>
      <x:c r="H100" t="n">
        <x:v>1136</x:v>
      </x:c>
      <x:c r="I100" s="48" t="n">
        <x:v>75</x:v>
      </x:c>
      <x:c r="J100" t="str"/>
    </x:row>
    <x:row r="101">
      <x:c r="A101" t="str">
        <x:v>Ratnagiri</x:v>
      </x:c>
      <x:c r="B101" t="str">
        <x:v>Ratnagiri</x:v>
      </x:c>
      <x:c r="C101" t="n">
        <x:v>2011</x:v>
      </x:c>
      <x:c r="D101" t="n">
        <x:v>761121</x:v>
      </x:c>
      <x:c r="E101" t="n">
        <x:v>853948</x:v>
      </x:c>
      <x:c r="F101" s="47" t="n">
        <x:v>1615069</x:v>
      </x:c>
      <x:c r="G101" t="n">
        <x:v>197</x:v>
      </x:c>
      <x:c r="H101" t="n">
        <x:v>1122</x:v>
      </x:c>
      <x:c r="I101" s="48" t="n">
        <x:v>82</x:v>
      </x:c>
      <x:c r="J101" t="str"/>
    </x:row>
    <x:row r="102">
      <x:c r="A102" t="str">
        <x:v>Sindhudurg</x:v>
      </x:c>
      <x:c r="B102" t="str">
        <x:v>Sindhudurg</x:v>
      </x:c>
      <x:c r="C102" t="n">
        <x:v>1991</x:v>
      </x:c>
      <x:c r="D102" t="n">
        <x:v>389384</x:v>
      </x:c>
      <x:c r="E102" t="n">
        <x:v>442768</x:v>
      </x:c>
      <x:c r="F102" s="47" t="n">
        <x:v>832152</x:v>
      </x:c>
      <x:c r="G102" t="n">
        <x:v>160</x:v>
      </x:c>
      <x:c r="H102" t="n">
        <x:v>1137</x:v>
      </x:c>
      <x:c r="I102" s="48" t="n">
        <x:v>76</x:v>
      </x:c>
      <x:c r="J102" t="str"/>
    </x:row>
    <x:row r="103">
      <x:c r="A103" t="str">
        <x:v>Sindhudurg</x:v>
      </x:c>
      <x:c r="B103" t="str">
        <x:v>Sindhudurg</x:v>
      </x:c>
      <x:c r="C103" t="n">
        <x:v>2001</x:v>
      </x:c>
      <x:c r="D103" t="n">
        <x:v>417890</x:v>
      </x:c>
      <x:c r="E103" t="n">
        <x:v>450935</x:v>
      </x:c>
      <x:c r="F103" s="47" t="n">
        <x:v>868825</x:v>
      </x:c>
      <x:c r="G103" t="n">
        <x:v>167</x:v>
      </x:c>
      <x:c r="H103" t="n">
        <x:v>1079</x:v>
      </x:c>
      <x:c r="I103" s="48" t="n">
        <x:v>80</x:v>
      </x:c>
      <x:c r="J103" t="str"/>
    </x:row>
    <x:row r="104">
      <x:c r="A104" t="str">
        <x:v>Sindhudurg</x:v>
      </x:c>
      <x:c r="B104" t="str">
        <x:v>Sindhudurg</x:v>
      </x:c>
      <x:c r="C104" t="n">
        <x:v>2011</x:v>
      </x:c>
      <x:c r="D104" t="n">
        <x:v>417332</x:v>
      </x:c>
      <x:c r="E104" t="n">
        <x:v>432319</x:v>
      </x:c>
      <x:c r="F104" s="47" t="n">
        <x:v>849651</x:v>
      </x:c>
      <x:c r="G104" t="n">
        <x:v>163</x:v>
      </x:c>
      <x:c r="H104" t="n">
        <x:v>1036</x:v>
      </x:c>
      <x:c r="I104" s="48" t="n">
        <x:v>86</x:v>
      </x:c>
      <x:c r="J104" t="str"/>
    </x:row>
    <x:row r="105">
      <x:c r="A105" t="str">
        <x:v>Kolhapur</x:v>
      </x:c>
      <x:c r="B105" t="str">
        <x:v>Kolhapur</x:v>
      </x:c>
      <x:c r="C105" t="n">
        <x:v>1991</x:v>
      </x:c>
      <x:c r="D105" t="n">
        <x:v>1524732</x:v>
      </x:c>
      <x:c r="E105" t="n">
        <x:v>1464775</x:v>
      </x:c>
      <x:c r="F105" s="47" t="n">
        <x:v>2989507</x:v>
      </x:c>
      <x:c r="G105" t="n">
        <x:v>389</x:v>
      </x:c>
      <x:c r="H105" t="n">
        <x:v>961</x:v>
      </x:c>
      <x:c r="I105" s="48" t="n">
        <x:v>67</x:v>
      </x:c>
      <x:c r="J105" t="str"/>
    </x:row>
    <x:row r="106">
      <x:c r="A106" t="str">
        <x:v>Kolhapur</x:v>
      </x:c>
      <x:c r="B106" t="str">
        <x:v>Kolhapur</x:v>
      </x:c>
      <x:c r="C106" t="n">
        <x:v>2001</x:v>
      </x:c>
      <x:c r="D106" t="n">
        <x:v>1807470</x:v>
      </x:c>
      <x:c r="E106" t="n">
        <x:v>1715692</x:v>
      </x:c>
      <x:c r="F106" s="47" t="n">
        <x:v>3523162</x:v>
      </x:c>
      <x:c r="G106" t="n">
        <x:v>458</x:v>
      </x:c>
      <x:c r="H106" t="n">
        <x:v>949</x:v>
      </x:c>
      <x:c r="I106" s="48" t="n">
        <x:v>77</x:v>
      </x:c>
      <x:c r="J106" t="str"/>
    </x:row>
    <x:row r="107">
      <x:c r="A107" t="str">
        <x:v>Kolhapur</x:v>
      </x:c>
      <x:c r="B107" t="str">
        <x:v>Kolhapur</x:v>
      </x:c>
      <x:c r="C107" t="n">
        <x:v>2011</x:v>
      </x:c>
      <x:c r="D107" t="n">
        <x:v>1980658</x:v>
      </x:c>
      <x:c r="E107" t="n">
        <x:v>1895343</x:v>
      </x:c>
      <x:c r="F107" s="47" t="n">
        <x:v>3876001</x:v>
      </x:c>
      <x:c r="G107" t="n">
        <x:v>504</x:v>
      </x:c>
      <x:c r="H107" t="n">
        <x:v>957</x:v>
      </x:c>
      <x:c r="I107" s="48" t="n">
        <x:v>82</x:v>
      </x:c>
      <x:c r="J107" t="str"/>
    </x:row>
    <x:row r="108">
      <x:c r="A108" t="str">
        <x:v>Sangli</x:v>
      </x:c>
      <x:c r="B108" t="str">
        <x:v>Sangli</x:v>
      </x:c>
      <x:c r="C108" t="n">
        <x:v>1991</x:v>
      </x:c>
      <x:c r="D108" t="n">
        <x:v>1128521</x:v>
      </x:c>
      <x:c r="E108" t="n">
        <x:v>1080967</x:v>
      </x:c>
      <x:c r="F108" s="47" t="n">
        <x:v>2209488</x:v>
      </x:c>
      <x:c r="G108" t="n">
        <x:v>258</x:v>
      </x:c>
      <x:c r="H108" t="n">
        <x:v>958</x:v>
      </x:c>
      <x:c r="I108" s="48" t="n">
        <x:v>63</x:v>
      </x:c>
      <x:c r="J108" t="str"/>
    </x:row>
    <x:row r="109">
      <x:c r="A109" t="str">
        <x:v>Sangli</x:v>
      </x:c>
      <x:c r="B109" t="str">
        <x:v>Sangli</x:v>
      </x:c>
      <x:c r="C109" t="n">
        <x:v>2001</x:v>
      </x:c>
      <x:c r="D109" t="n">
        <x:v>1320088</x:v>
      </x:c>
      <x:c r="E109" t="n">
        <x:v>1263436</x:v>
      </x:c>
      <x:c r="F109" s="47" t="n">
        <x:v>2583524</x:v>
      </x:c>
      <x:c r="G109" t="n">
        <x:v>301</x:v>
      </x:c>
      <x:c r="H109" t="n">
        <x:v>957</x:v>
      </x:c>
      <x:c r="I109" s="48" t="n">
        <x:v>77</x:v>
      </x:c>
      <x:c r="J109" t="str"/>
    </x:row>
    <x:row r="110">
      <x:c r="A110" t="str">
        <x:v>Sangli</x:v>
      </x:c>
      <x:c r="B110" t="str">
        <x:v>Sangli</x:v>
      </x:c>
      <x:c r="C110" t="n">
        <x:v>2011</x:v>
      </x:c>
      <x:c r="D110" t="n">
        <x:v>1435728</x:v>
      </x:c>
      <x:c r="E110" t="n">
        <x:v>1386415</x:v>
      </x:c>
      <x:c r="F110" s="47" t="n">
        <x:v>2822143</x:v>
      </x:c>
      <x:c r="G110" t="n">
        <x:v>329</x:v>
      </x:c>
      <x:c r="H110" t="n">
        <x:v>966</x:v>
      </x:c>
      <x:c r="I110" s="48" t="n">
        <x:v>81</x:v>
      </x:c>
      <x:c r="J110" t="str"/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c571dc2329a44a8e"/>
  </x:tableParts>
</x:worksheet>
</file>

<file path=xl/worksheets/sheet6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63" hidden="0" customWidth="1"/>
    <x:col min="28" max="28" width="20" hidden="0" customWidth="1"/>
  </x:cols>
  <x:sheetData>
    <x:row r="1" ht="36" customHeight="1">
      <x:c r="A1" s="32" t="str">
        <x:v>ANALYSIS READY | Maharashtra district master (36 districts)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</x:row>
    <x:row r="2" ht="25" customHeight="1">
      <x:c r="A2" s="34" t="str">
        <x:v>Source file: Joined from df.csv, jv.csv, and census HTML .xls    |    User-supplied upload    |    Cleaned numeric fields; source labels preserved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</x:row>
    <x:row r="3" ht="26" customHeight="1">
      <x:c r="A3" s="46" t="str">
        <x:v>District granularity only. Original dates may differ. Growth is formula-derived; historical boundary changes limit comparability.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  <x:c r="AA3" s="46"/>
      <x:c r="AB3" s="46"/>
    </x:row>
    <x:row r="5" ht="32" customHeight="1">
      <x:c r="A5" s="41" t="str">
        <x:v>District</x:v>
      </x:c>
      <x:c r="B5" s="41" t="str">
        <x:v>Population 2011</x:v>
      </x:c>
      <x:c r="C5" s="41" t="str">
        <x:v>Population 2001</x:v>
      </x:c>
      <x:c r="D5" s="41" t="str">
        <x:v>Population 1991</x:v>
      </x:c>
      <x:c r="E5" s="41" t="str">
        <x:v>Population growth 2001-11</x:v>
      </x:c>
      <x:c r="F5" s="41" t="str">
        <x:v>Density 2011</x:v>
      </x:c>
      <x:c r="G5" s="41" t="str">
        <x:v>Literacy 2011 (%)</x:v>
      </x:c>
      <x:c r="H5" s="41" t="str">
        <x:v>Health sub-centres</x:v>
      </x:c>
      <x:c r="I5" s="41" t="str">
        <x:v>Primary health centres</x:v>
      </x:c>
      <x:c r="J5" s="41" t="str">
        <x:v>Dispensaries</x:v>
      </x:c>
      <x:c r="K5" s="41" t="str">
        <x:v>Sub-district hospitals</x:v>
      </x:c>
      <x:c r="L5" s="41" t="str">
        <x:v>District hospitals</x:v>
      </x:c>
      <x:c r="M5" s="41" t="str">
        <x:v>General hospitals</x:v>
      </x:c>
      <x:c r="N5" s="41" t="str">
        <x:v>Women hospitals</x:v>
      </x:c>
      <x:c r="O5" s="41" t="str">
        <x:v>Rural hospitals</x:v>
      </x:c>
      <x:c r="P5" s="41" t="str">
        <x:v>Schools per 10 sq km</x:v>
      </x:c>
      <x:c r="Q5" s="41" t="str">
        <x:v>Secondary dropout (%)</x:v>
      </x:c>
      <x:c r="R5" s="41" t="str">
        <x:v>Forest land (%)</x:v>
      </x:c>
      <x:c r="S5" s="41" t="str">
        <x:v>Domestic electricity kWh per capita</x:v>
      </x:c>
      <x:c r="T5" s="41" t="str">
        <x:v>Industrial electricity kWh per capita</x:v>
      </x:c>
      <x:c r="U5" s="41" t="str">
        <x:v>Per capita income (source units)</x:v>
      </x:c>
      <x:c r="V5" s="41" t="str">
        <x:v>Vehicles per lakh</x:v>
      </x:c>
      <x:c r="W5" s="41" t="str">
        <x:v>Underweight severe (%)</x:v>
      </x:c>
      <x:c r="X5" s="41" t="str">
        <x:v>Underweight moderate (%)</x:v>
      </x:c>
      <x:c r="Y5" s="41" t="str">
        <x:v>Census match</x:v>
      </x:c>
      <x:c r="Z5" s="41" t="str">
        <x:v>Health match</x:v>
      </x:c>
      <x:c r="AA5" s="41" t="str">
        <x:v>Join / coverage warning</x:v>
      </x:c>
      <x:c r="AB5" s="41" t="str">
        <x:v>Total reported health facilities</x:v>
      </x:c>
    </x:row>
    <x:row r="6">
      <x:c r="A6" t="str">
        <x:v>Ahilyanagar</x:v>
      </x:c>
      <x:c r="B6" s="47" t="n">
        <x:v>4543159</x:v>
      </x:c>
      <x:c r="C6" s="47" t="n">
        <x:v>4040642</x:v>
      </x:c>
      <x:c r="D6" s="47" t="n">
        <x:v>3372935</x:v>
      </x:c>
      <x:c r="E6" s="49" t="n">
        <x:f>IFERROR(IF(OR(B6="",C6=""),"",B6/C6-1),"")</x:f>
        <x:v>0.1243656329860452</x:v>
      </x:c>
      <x:c r="F6" t="n">
        <x:v>266</x:v>
      </x:c>
      <x:c r="G6" t="n">
        <x:v>79</x:v>
      </x:c>
      <x:c r="H6" s="47" t="n">
        <x:v>565</x:v>
      </x:c>
      <x:c r="I6" s="47" t="n">
        <x:v>98</x:v>
      </x:c>
      <x:c r="J6" s="47" t="n">
        <x:v>9</x:v>
      </x:c>
      <x:c r="K6" s="47" t="n">
        <x:v>3</x:v>
      </x:c>
      <x:c r="L6" s="47" t="n">
        <x:v>1</x:v>
      </x:c>
      <x:c r="M6" s="47" t="n">
        <x:v>0</x:v>
      </x:c>
      <x:c r="N6" s="47" t="n">
        <x:v>0</x:v>
      </x:c>
      <x:c r="O6" s="47" t="n">
        <x:v>22</x:v>
      </x:c>
      <x:c r="P6" t="n">
        <x:v>3</x:v>
      </x:c>
      <x:c r="Q6" t="n">
        <x:v>5.2</x:v>
      </x:c>
      <x:c r="R6" t="n">
        <x:v>10.8</x:v>
      </x:c>
      <x:c r="S6" t="n">
        <x:v>93.7</x:v>
      </x:c>
      <x:c r="T6" t="n">
        <x:v>238.6</x:v>
      </x:c>
      <x:c r="U6" t="n">
        <x:v>230819</x:v>
      </x:c>
      <x:c r="V6" t="n">
        <x:v>39599</x:v>
      </x:c>
      <x:c r="W6" t="n">
        <x:v>0.7</x:v>
      </x:c>
      <x:c r="X6" t="n">
        <x:v>4.8</x:v>
      </x:c>
      <x:c r="Y6" t="str">
        <x:v>Matched</x:v>
      </x:c>
      <x:c r="Z6" t="str">
        <x:v>Matched</x:v>
      </x:c>
      <x:c r="AA6" t="str"/>
      <x:c r="AB6" t="n">
        <x:f>IF(Z6="Missing","",SUM(H6:O6))</x:f>
        <x:v>698</x:v>
      </x:c>
    </x:row>
    <x:row r="7">
      <x:c r="A7" t="str">
        <x:v>Akola</x:v>
      </x:c>
      <x:c r="B7" s="47" t="n">
        <x:v>1813906</x:v>
      </x:c>
      <x:c r="C7" s="47" t="n">
        <x:v>1630239</x:v>
      </x:c>
      <x:c r="D7" s="47" t="n">
        <x:v>2214271</x:v>
      </x:c>
      <x:c r="E7" s="49" t="n">
        <x:f>IFERROR(IF(OR(B7="",C7=""),"",B7/C7-1),"")</x:f>
        <x:v>0.11266262186096632</x:v>
      </x:c>
      <x:c r="F7" t="n">
        <x:v>320</x:v>
      </x:c>
      <x:c r="G7" t="n">
        <x:v>88</x:v>
      </x:c>
      <x:c r="H7" s="47" t="n">
        <x:v>179</x:v>
      </x:c>
      <x:c r="I7" s="47" t="n">
        <x:v>31</x:v>
      </x:c>
      <x:c r="J7" s="47" t="n">
        <x:v>31</x:v>
      </x:c>
      <x:c r="K7" s="47" t="n">
        <x:v>1</x:v>
      </x:c>
      <x:c r="L7" s="47" t="n">
        <x:v>0</x:v>
      </x:c>
      <x:c r="M7" s="47" t="n">
        <x:v>0</x:v>
      </x:c>
      <x:c r="N7" s="47" t="n">
        <x:v>1</x:v>
      </x:c>
      <x:c r="O7" s="47" t="n">
        <x:v>5</x:v>
      </x:c>
      <x:c r="P7" t="n">
        <x:v>3</x:v>
      </x:c>
      <x:c r="Q7" t="n">
        <x:v>0</x:v>
      </x:c>
      <x:c r="R7" t="n">
        <x:v>7.3</x:v>
      </x:c>
      <x:c r="S7" t="n">
        <x:v>174.9</x:v>
      </x:c>
      <x:c r="T7" t="n">
        <x:v>109.5</x:v>
      </x:c>
      <x:c r="U7" t="n">
        <x:v>197333</x:v>
      </x:c>
      <x:c r="V7" t="n">
        <x:v>28320</x:v>
      </x:c>
      <x:c r="W7" t="n">
        <x:v>0.4</x:v>
      </x:c>
      <x:c r="X7" t="n">
        <x:v>3.5</x:v>
      </x:c>
      <x:c r="Y7" t="str">
        <x:v>Matched</x:v>
      </x:c>
      <x:c r="Z7" t="str">
        <x:v>Matched</x:v>
      </x:c>
      <x:c r="AA7" t="str"/>
      <x:c r="AB7" t="n">
        <x:f>IF(Z7="Missing","",SUM(H7:O7))</x:f>
        <x:v>248</x:v>
      </x:c>
    </x:row>
    <x:row r="8">
      <x:c r="A8" t="str">
        <x:v>Amravati</x:v>
      </x:c>
      <x:c r="B8" s="47" t="n">
        <x:v>2888445</x:v>
      </x:c>
      <x:c r="C8" s="47" t="n">
        <x:v>2607160</x:v>
      </x:c>
      <x:c r="D8" s="47" t="n">
        <x:v>2200057</x:v>
      </x:c>
      <x:c r="E8" s="49" t="n">
        <x:f>IFERROR(IF(OR(B8="",C8=""),"",B8/C8-1),"")</x:f>
        <x:v>0.10788942757636666</x:v>
      </x:c>
      <x:c r="F8" t="n">
        <x:v>237</x:v>
      </x:c>
      <x:c r="G8" t="n">
        <x:v>87</x:v>
      </x:c>
      <x:c r="H8" s="47" t="n">
        <x:v>340</x:v>
      </x:c>
      <x:c r="I8" s="47" t="n">
        <x:v>59</x:v>
      </x:c>
      <x:c r="J8" s="47" t="n">
        <x:v>105</x:v>
      </x:c>
      <x:c r="K8" s="47" t="n">
        <x:v>6</x:v>
      </x:c>
      <x:c r="L8" s="47" t="n">
        <x:v>1</x:v>
      </x:c>
      <x:c r="M8" s="47" t="n">
        <x:v>0</x:v>
      </x:c>
      <x:c r="N8" s="47" t="n">
        <x:v>2</x:v>
      </x:c>
      <x:c r="O8" s="47" t="n">
        <x:v>8</x:v>
      </x:c>
      <x:c r="P8" t="n">
        <x:v>2</x:v>
      </x:c>
      <x:c r="Q8" t="n">
        <x:v>1.3</x:v>
      </x:c>
      <x:c r="R8" t="n">
        <x:v>28.6</x:v>
      </x:c>
      <x:c r="S8" t="n">
        <x:v>190.3</x:v>
      </x:c>
      <x:c r="T8" t="n">
        <x:v>118.7</x:v>
      </x:c>
      <x:c r="U8" t="n">
        <x:v>191401</x:v>
      </x:c>
      <x:c r="V8" t="n">
        <x:v>30067</x:v>
      </x:c>
      <x:c r="W8" t="n">
        <x:v>2.1</x:v>
      </x:c>
      <x:c r="X8" t="n">
        <x:v>10.8</x:v>
      </x:c>
      <x:c r="Y8" t="str">
        <x:v>Matched</x:v>
      </x:c>
      <x:c r="Z8" t="str">
        <x:v>Matched</x:v>
      </x:c>
      <x:c r="AA8" t="str"/>
      <x:c r="AB8" t="n">
        <x:f>IF(Z8="Missing","",SUM(H8:O8))</x:f>
        <x:v>521</x:v>
      </x:c>
    </x:row>
    <x:row r="9">
      <x:c r="A9" t="str">
        <x:v>Beed</x:v>
      </x:c>
      <x:c r="B9" s="47" t="n">
        <x:v>2585049</x:v>
      </x:c>
      <x:c r="C9" s="47" t="n">
        <x:v>2161250</x:v>
      </x:c>
      <x:c r="D9" s="47" t="n">
        <x:v>1822072</x:v>
      </x:c>
      <x:c r="E9" s="49" t="n">
        <x:f>IFERROR(IF(OR(B9="",C9=""),"",B9/C9-1),"")</x:f>
        <x:v>0.19608976286871016</x:v>
      </x:c>
      <x:c r="F9" t="n">
        <x:v>242</x:v>
      </x:c>
      <x:c r="G9" t="n">
        <x:v>77</x:v>
      </x:c>
      <x:c r="H9" s="47" t="n">
        <x:v>296</x:v>
      </x:c>
      <x:c r="I9" s="47" t="n">
        <x:v>56</x:v>
      </x:c>
      <x:c r="J9" s="47" t="n">
        <x:v>21</x:v>
      </x:c>
      <x:c r="K9" s="47" t="n">
        <x:v>3</x:v>
      </x:c>
      <x:c r="L9" s="47" t="n">
        <x:v>1</x:v>
      </x:c>
      <x:c r="M9" s="47" t="n">
        <x:v>0</x:v>
      </x:c>
      <x:c r="N9" s="47" t="n">
        <x:v>2</x:v>
      </x:c>
      <x:c r="O9" s="47" t="n">
        <x:v>11</x:v>
      </x:c>
      <x:c r="P9" t="n">
        <x:v>3</x:v>
      </x:c>
      <x:c r="Q9" t="n">
        <x:v>3.9</x:v>
      </x:c>
      <x:c r="R9" t="n">
        <x:v>2.6</x:v>
      </x:c>
      <x:c r="S9" t="n">
        <x:v>68.2</x:v>
      </x:c>
      <x:c r="T9" t="n">
        <x:v>56.5</x:v>
      </x:c>
      <x:c r="U9" t="n">
        <x:v>177240</x:v>
      </x:c>
      <x:c r="V9" t="n">
        <x:v>23029</x:v>
      </x:c>
      <x:c r="W9" t="n">
        <x:v>0.6</x:v>
      </x:c>
      <x:c r="X9" t="n">
        <x:v>4.3</x:v>
      </x:c>
      <x:c r="Y9" t="str">
        <x:v>Matched</x:v>
      </x:c>
      <x:c r="Z9" t="str">
        <x:v>Matched</x:v>
      </x:c>
      <x:c r="AA9" t="str"/>
      <x:c r="AB9" t="n">
        <x:f>IF(Z9="Missing","",SUM(H9:O9))</x:f>
        <x:v>390</x:v>
      </x:c>
    </x:row>
    <x:row r="10">
      <x:c r="A10" t="str">
        <x:v>Bhandara</x:v>
      </x:c>
      <x:c r="B10" s="47" t="n">
        <x:v>1200334</x:v>
      </x:c>
      <x:c r="C10" s="47" t="n">
        <x:v>1136146</x:v>
      </x:c>
      <x:c r="D10" s="47" t="n">
        <x:v>2107629</x:v>
      </x:c>
      <x:c r="E10" s="49" t="n">
        <x:f>IFERROR(IF(OR(B10="",C10=""),"",B10/C10-1),"")</x:f>
        <x:v>0.05649626016374665</x:v>
      </x:c>
      <x:c r="F10" t="n">
        <x:v>294</x:v>
      </x:c>
      <x:c r="G10" t="n">
        <x:v>84</x:v>
      </x:c>
      <x:c r="H10" s="47" t="n">
        <x:v>193</x:v>
      </x:c>
      <x:c r="I10" s="47" t="n">
        <x:v>33</x:v>
      </x:c>
      <x:c r="J10" s="47" t="n">
        <x:v>33</x:v>
      </x:c>
      <x:c r="K10" s="47" t="n">
        <x:v>2</x:v>
      </x:c>
      <x:c r="L10" s="47" t="n">
        <x:v>1</x:v>
      </x:c>
      <x:c r="M10" s="47" t="n">
        <x:v>0</x:v>
      </x:c>
      <x:c r="N10" s="47" t="n">
        <x:v>0</x:v>
      </x:c>
      <x:c r="O10" s="47" t="n">
        <x:v>7</x:v>
      </x:c>
      <x:c r="P10" t="n">
        <x:v>3</x:v>
      </x:c>
      <x:c r="Q10" t="n">
        <x:v>0.6</x:v>
      </x:c>
      <x:c r="R10" t="n">
        <x:v>34.3</x:v>
      </x:c>
      <x:c r="S10" t="n">
        <x:v>182.8</x:v>
      </x:c>
      <x:c r="T10" t="n">
        <x:v>305.2</x:v>
      </x:c>
      <x:c r="U10" t="n">
        <x:v>193418</x:v>
      </x:c>
      <x:c r="V10" t="n">
        <x:v>26836</x:v>
      </x:c>
      <x:c r="W10" t="n">
        <x:v>0.9</x:v>
      </x:c>
      <x:c r="X10" t="n">
        <x:v>5.3</x:v>
      </x:c>
      <x:c r="Y10" t="str">
        <x:v>Matched</x:v>
      </x:c>
      <x:c r="Z10" t="str">
        <x:v>Matched</x:v>
      </x:c>
      <x:c r="AA10" t="str"/>
      <x:c r="AB10" t="n">
        <x:f>IF(Z10="Missing","",SUM(H10:O10))</x:f>
        <x:v>269</x:v>
      </x:c>
    </x:row>
    <x:row r="11">
      <x:c r="A11" t="str">
        <x:v>Buldhana</x:v>
      </x:c>
      <x:c r="B11" s="47" t="n">
        <x:v>2586258</x:v>
      </x:c>
      <x:c r="C11" s="47" t="n">
        <x:v>2232480</x:v>
      </x:c>
      <x:c r="D11" s="47" t="n">
        <x:v>1886299</x:v>
      </x:c>
      <x:c r="E11" s="49" t="n">
        <x:f>IFERROR(IF(OR(B11="",C11=""),"",B11/C11-1),"")</x:f>
        <x:v>0.15846860890131165</x:v>
      </x:c>
      <x:c r="F11" t="n">
        <x:v>268</x:v>
      </x:c>
      <x:c r="G11" t="n">
        <x:v>83</x:v>
      </x:c>
      <x:c r="H11" s="47" t="n">
        <x:v>282</x:v>
      </x:c>
      <x:c r="I11" s="47" t="n">
        <x:v>56</x:v>
      </x:c>
      <x:c r="J11" s="47" t="n">
        <x:v>75</x:v>
      </x:c>
      <x:c r="K11" s="47" t="n">
        <x:v>1</x:v>
      </x:c>
      <x:c r="L11" s="47" t="n">
        <x:v>1</x:v>
      </x:c>
      <x:c r="M11" s="47" t="n">
        <x:v>2</x:v>
      </x:c>
      <x:c r="N11" s="47" t="n">
        <x:v>1</x:v>
      </x:c>
      <x:c r="O11" s="47" t="n">
        <x:v>14</x:v>
      </x:c>
      <x:c r="P11" t="n">
        <x:v>3</x:v>
      </x:c>
      <x:c r="Q11" t="n">
        <x:v>3.3</x:v>
      </x:c>
      <x:c r="R11" t="n">
        <x:v>12.2</x:v>
      </x:c>
      <x:c r="S11" t="n">
        <x:v>118</x:v>
      </x:c>
      <x:c r="T11" t="n">
        <x:v>55.3</x:v>
      </x:c>
      <x:c r="U11" t="n">
        <x:v>137235</x:v>
      </x:c>
      <x:c r="V11" t="n">
        <x:v>21554</x:v>
      </x:c>
      <x:c r="W11" t="n">
        <x:v>0.5</x:v>
      </x:c>
      <x:c r="X11" t="n">
        <x:v>5.5</x:v>
      </x:c>
      <x:c r="Y11" t="str">
        <x:v>Matched</x:v>
      </x:c>
      <x:c r="Z11" t="str">
        <x:v>Matched</x:v>
      </x:c>
      <x:c r="AA11" t="str"/>
      <x:c r="AB11" t="n">
        <x:f>IF(Z11="Missing","",SUM(H11:O11))</x:f>
        <x:v>432</x:v>
      </x:c>
    </x:row>
    <x:row r="12">
      <x:c r="A12" t="str">
        <x:v>Chandrapur</x:v>
      </x:c>
      <x:c r="B12" s="47" t="n">
        <x:v>2204307</x:v>
      </x:c>
      <x:c r="C12" s="47" t="n">
        <x:v>2071101</x:v>
      </x:c>
      <x:c r="D12" s="47" t="n">
        <x:v>1771994</x:v>
      </x:c>
      <x:c r="E12" s="49" t="n">
        <x:f>IFERROR(IF(OR(B12="",C12=""),"",B12/C12-1),"")</x:f>
        <x:v>0.06431651570831165</x:v>
      </x:c>
      <x:c r="F12" t="n">
        <x:v>193</x:v>
      </x:c>
      <x:c r="G12" t="n">
        <x:v>80</x:v>
      </x:c>
      <x:c r="H12" s="47" t="n">
        <x:v>342</x:v>
      </x:c>
      <x:c r="I12" s="47" t="n">
        <x:v>65</x:v>
      </x:c>
      <x:c r="J12" s="47" t="n">
        <x:v>27</x:v>
      </x:c>
      <x:c r="K12" s="47" t="n">
        <x:v>4</x:v>
      </x:c>
      <x:c r="L12" s="47" t="n">
        <x:v>0</x:v>
      </x:c>
      <x:c r="M12" s="47" t="n">
        <x:v>0</x:v>
      </x:c>
      <x:c r="N12" s="47" t="n">
        <x:v>0</x:v>
      </x:c>
      <x:c r="O12" s="47" t="n">
        <x:v>10</x:v>
      </x:c>
      <x:c r="P12" t="n">
        <x:v>2</x:v>
      </x:c>
      <x:c r="Q12" t="n">
        <x:v>4.8</x:v>
      </x:c>
      <x:c r="R12" t="n">
        <x:v>42.3</x:v>
      </x:c>
      <x:c r="S12" t="n">
        <x:v>194.1</x:v>
      </x:c>
      <x:c r="T12" t="n">
        <x:v>330.3</x:v>
      </x:c>
      <x:c r="U12" t="n">
        <x:v>221846</x:v>
      </x:c>
      <x:c r="V12" t="n">
        <x:v>29967</x:v>
      </x:c>
      <x:c r="W12" t="n">
        <x:v>1.9</x:v>
      </x:c>
      <x:c r="X12" t="n">
        <x:v>10.5</x:v>
      </x:c>
      <x:c r="Y12" t="str">
        <x:v>Matched</x:v>
      </x:c>
      <x:c r="Z12" t="str">
        <x:v>Matched</x:v>
      </x:c>
      <x:c r="AA12" t="str"/>
      <x:c r="AB12" t="n">
        <x:f>IF(Z12="Missing","",SUM(H12:O12))</x:f>
        <x:v>448</x:v>
      </x:c>
    </x:row>
    <x:row r="13">
      <x:c r="A13" t="str">
        <x:v>Chhatrapati Sambhajinagar</x:v>
      </x:c>
      <x:c r="B13" s="47" t="n">
        <x:v>3701282</x:v>
      </x:c>
      <x:c r="C13" s="47" t="n">
        <x:v>2897013</x:v>
      </x:c>
      <x:c r="D13" s="47" t="n">
        <x:v>2213779</x:v>
      </x:c>
      <x:c r="E13" s="49" t="n">
        <x:f>IFERROR(IF(OR(B13="",C13=""),"",B13/C13-1),"")</x:f>
        <x:v>0.2776200866202534</x:v>
      </x:c>
      <x:c r="F13" t="n">
        <x:v>365</x:v>
      </x:c>
      <x:c r="G13" t="n">
        <x:v>79</x:v>
      </x:c>
      <x:c r="H13" s="47" t="n">
        <x:v>279</x:v>
      </x:c>
      <x:c r="I13" s="47" t="n">
        <x:v>53</x:v>
      </x:c>
      <x:c r="J13" s="47" t="n">
        <x:v>12</x:v>
      </x:c>
      <x:c r="K13" s="47" t="n">
        <x:v>3</x:v>
      </x:c>
      <x:c r="L13" s="47" t="n">
        <x:v>1</x:v>
      </x:c>
      <x:c r="M13" s="47" t="n">
        <x:v>0</x:v>
      </x:c>
      <x:c r="N13" s="47" t="n">
        <x:v>0</x:v>
      </x:c>
      <x:c r="O13" s="47" t="n">
        <x:v>10</x:v>
      </x:c>
      <x:c r="P13" t="n">
        <x:v>4</x:v>
      </x:c>
      <x:c r="Q13" t="n">
        <x:v>5.6</x:v>
      </x:c>
      <x:c r="R13" t="n">
        <x:v>9.3</x:v>
      </x:c>
      <x:c r="S13" t="n">
        <x:v>164.9</x:v>
      </x:c>
      <x:c r="T13" t="n">
        <x:v>620.4</x:v>
      </x:c>
      <x:c r="U13" t="n">
        <x:v>235677</x:v>
      </x:c>
      <x:c r="V13" t="n">
        <x:v>41955</x:v>
      </x:c>
      <x:c r="W13" t="n">
        <x:v>1.2</x:v>
      </x:c>
      <x:c r="X13" t="n">
        <x:v>5.6</x:v>
      </x:c>
      <x:c r="Y13" t="str">
        <x:v>Matched</x:v>
      </x:c>
      <x:c r="Z13" t="str">
        <x:v>Matched</x:v>
      </x:c>
      <x:c r="AA13" t="str"/>
      <x:c r="AB13" t="n">
        <x:f>IF(Z13="Missing","",SUM(H13:O13))</x:f>
        <x:v>358</x:v>
      </x:c>
    </x:row>
    <x:row r="14">
      <x:c r="A14" t="str">
        <x:v>Dharashiv</x:v>
      </x:c>
      <x:c r="B14" s="47" t="n">
        <x:v>1657576</x:v>
      </x:c>
      <x:c r="C14" s="47" t="n">
        <x:v>1486586</x:v>
      </x:c>
      <x:c r="D14" s="47" t="n">
        <x:v>1276327</x:v>
      </x:c>
      <x:c r="E14" s="49" t="n">
        <x:f>IFERROR(IF(OR(B14="",C14=""),"",B14/C14-1),"")</x:f>
        <x:v>0.11502193616783685</x:v>
      </x:c>
      <x:c r="F14" t="n">
        <x:v>219</x:v>
      </x:c>
      <x:c r="G14" t="n">
        <x:v>78</x:v>
      </x:c>
      <x:c r="H14" s="47" t="n">
        <x:v>216</x:v>
      </x:c>
      <x:c r="I14" s="47" t="n">
        <x:v>45</x:v>
      </x:c>
      <x:c r="J14" s="47" t="n">
        <x:v>10</x:v>
      </x:c>
      <x:c r="K14" s="47" t="n">
        <x:v>5</x:v>
      </x:c>
      <x:c r="L14" s="47" t="n">
        <x:v>0</x:v>
      </x:c>
      <x:c r="M14" s="47" t="n">
        <x:v>0</x:v>
      </x:c>
      <x:c r="N14" s="47" t="n">
        <x:v>0</x:v>
      </x:c>
      <x:c r="O14" s="47" t="n">
        <x:v>7</x:v>
      </x:c>
      <x:c r="P14" t="n">
        <x:v>2</x:v>
      </x:c>
      <x:c r="Q14" t="n">
        <x:v>4.8</x:v>
      </x:c>
      <x:c r="R14" t="n">
        <x:v>1.3</x:v>
      </x:c>
      <x:c r="S14" t="n">
        <x:v>86.5</x:v>
      </x:c>
      <x:c r="T14" t="n">
        <x:v>64</x:v>
      </x:c>
      <x:c r="U14" t="n">
        <x:v>190383</x:v>
      </x:c>
      <x:c r="V14" t="n">
        <x:v>21973</x:v>
      </x:c>
      <x:c r="W14" t="n">
        <x:v>0.9</x:v>
      </x:c>
      <x:c r="X14" t="n">
        <x:v>6.4</x:v>
      </x:c>
      <x:c r="Y14" t="str">
        <x:v>Matched</x:v>
      </x:c>
      <x:c r="Z14" t="str">
        <x:v>Matched</x:v>
      </x:c>
      <x:c r="AA14" t="str"/>
      <x:c r="AB14" t="n">
        <x:f>IF(Z14="Missing","",SUM(H14:O14))</x:f>
        <x:v>283</x:v>
      </x:c>
    </x:row>
    <x:row r="15">
      <x:c r="A15" t="str">
        <x:v>Dhule</x:v>
      </x:c>
      <x:c r="B15" s="47" t="n">
        <x:v>2050862</x:v>
      </x:c>
      <x:c r="C15" s="47" t="n">
        <x:v>1707947</x:v>
      </x:c>
      <x:c r="D15" s="47" t="n">
        <x:v>2535715</x:v>
      </x:c>
      <x:c r="E15" s="49" t="n">
        <x:f>IFERROR(IF(OR(B15="",C15=""),"",B15/C15-1),"")</x:f>
        <x:v>0.20077613649603876</x:v>
      </x:c>
      <x:c r="F15" t="n">
        <x:v>285</x:v>
      </x:c>
      <x:c r="G15" t="n">
        <x:v>73</x:v>
      </x:c>
      <x:c r="H15" s="47" t="n">
        <x:v>232</x:v>
      </x:c>
      <x:c r="I15" s="47" t="n">
        <x:v>41</x:v>
      </x:c>
      <x:c r="J15" s="47" t="n">
        <x:v>15</x:v>
      </x:c>
      <x:c r="K15" s="47" t="n">
        <x:v>2</x:v>
      </x:c>
      <x:c r="L15" s="47" t="n">
        <x:v>1</x:v>
      </x:c>
      <x:c r="M15" s="47" t="n">
        <x:v>0</x:v>
      </x:c>
      <x:c r="N15" s="47" t="n">
        <x:v>1</x:v>
      </x:c>
      <x:c r="O15" s="47" t="n">
        <x:v>6</x:v>
      </x:c>
      <x:c r="P15" t="n">
        <x:v>3</x:v>
      </x:c>
      <x:c r="Q15" t="n">
        <x:v>11.8</x:v>
      </x:c>
      <x:c r="R15" t="n">
        <x:v>28.7</x:v>
      </x:c>
      <x:c r="S15" t="n">
        <x:v>117.6</x:v>
      </x:c>
      <x:c r="T15" t="n">
        <x:v>239.1</x:v>
      </x:c>
      <x:c r="U15" t="n">
        <x:v>189384</x:v>
      </x:c>
      <x:c r="V15" t="n">
        <x:v>27181</x:v>
      </x:c>
      <x:c r="W15" t="n">
        <x:v>1.7</x:v>
      </x:c>
      <x:c r="X15" t="n">
        <x:v>7.6</x:v>
      </x:c>
      <x:c r="Y15" t="str">
        <x:v>Matched</x:v>
      </x:c>
      <x:c r="Z15" t="str">
        <x:v>Matched</x:v>
      </x:c>
      <x:c r="AA15" t="str"/>
      <x:c r="AB15" t="n">
        <x:f>IF(Z15="Missing","",SUM(H15:O15))</x:f>
        <x:v>298</x:v>
      </x:c>
    </x:row>
    <x:row r="16">
      <x:c r="A16" t="str">
        <x:v>Gadchiroli</x:v>
      </x:c>
      <x:c r="B16" s="47" t="n">
        <x:v>1072942</x:v>
      </x:c>
      <x:c r="C16" s="47" t="n">
        <x:v>970294</x:v>
      </x:c>
      <x:c r="D16" s="47" t="n">
        <x:v>787010</x:v>
      </x:c>
      <x:c r="E16" s="49" t="n">
        <x:f>IFERROR(IF(OR(B16="",C16=""),"",B16/C16-1),"")</x:f>
        <x:v>0.10579061604008677</x:v>
      </x:c>
      <x:c r="F16" t="n">
        <x:v>74</x:v>
      </x:c>
      <x:c r="G16" t="n">
        <x:v>74</x:v>
      </x:c>
      <x:c r="H16" s="47" t="n">
        <x:v>376</x:v>
      </x:c>
      <x:c r="I16" s="47" t="n">
        <x:v>52</x:v>
      </x:c>
      <x:c r="J16" s="47" t="n">
        <x:v>48</x:v>
      </x:c>
      <x:c r="K16" s="47" t="n">
        <x:v>3</x:v>
      </x:c>
      <x:c r="L16" s="47" t="n">
        <x:v>1</x:v>
      </x:c>
      <x:c r="M16" s="47" t="n">
        <x:v>0</x:v>
      </x:c>
      <x:c r="N16" s="47" t="n">
        <x:v>1</x:v>
      </x:c>
      <x:c r="O16" s="47" t="n">
        <x:v>9</x:v>
      </x:c>
      <x:c r="P16" t="n">
        <x:v>1</x:v>
      </x:c>
      <x:c r="Q16" t="n">
        <x:v>5.8</x:v>
      </x:c>
      <x:c r="R16" t="n">
        <x:v>89.4</x:v>
      </x:c>
      <x:c r="S16" t="n">
        <x:v>204.8</x:v>
      </x:c>
      <x:c r="T16" t="n">
        <x:v>66.6</x:v>
      </x:c>
      <x:c r="U16" t="n">
        <x:v>140860</x:v>
      </x:c>
      <x:c r="V16" t="n">
        <x:v>19817</x:v>
      </x:c>
      <x:c r="W16" t="n">
        <x:v>3.7</x:v>
      </x:c>
      <x:c r="X16" t="n">
        <x:v>15</x:v>
      </x:c>
      <x:c r="Y16" t="str">
        <x:v>Matched</x:v>
      </x:c>
      <x:c r="Z16" t="str">
        <x:v>Matched</x:v>
      </x:c>
      <x:c r="AA16" t="str"/>
      <x:c r="AB16" t="n">
        <x:f>IF(Z16="Missing","",SUM(H16:O16))</x:f>
        <x:v>490</x:v>
      </x:c>
    </x:row>
    <x:row r="17">
      <x:c r="A17" t="str">
        <x:v>Gondia</x:v>
      </x:c>
      <x:c r="B17" s="47" t="n">
        <x:v>1322507</x:v>
      </x:c>
      <x:c r="C17" s="47" t="n">
        <x:v>1200707</x:v>
      </x:c>
      <x:c r="D17" s="47"/>
      <x:c r="E17" s="49" t="n">
        <x:f>IFERROR(IF(OR(B17="",C17=""),"",B17/C17-1),"")</x:f>
        <x:v>0.10144023479499986</x:v>
      </x:c>
      <x:c r="F17" t="n">
        <x:v>253</x:v>
      </x:c>
      <x:c r="G17" t="n">
        <x:v>85</x:v>
      </x:c>
      <x:c r="H17" s="47" t="n">
        <x:v>258</x:v>
      </x:c>
      <x:c r="I17" s="47" t="n">
        <x:v>45</x:v>
      </x:c>
      <x:c r="J17" s="47" t="n">
        <x:v>34</x:v>
      </x:c>
      <x:c r="K17" s="47" t="n">
        <x:v>1</x:v>
      </x:c>
      <x:c r="L17" s="47" t="n">
        <x:v>0</x:v>
      </x:c>
      <x:c r="M17" s="47" t="n">
        <x:v>0</x:v>
      </x:c>
      <x:c r="N17" s="47" t="n">
        <x:v>0</x:v>
      </x:c>
      <x:c r="O17" s="47" t="n">
        <x:v>10</x:v>
      </x:c>
      <x:c r="P17" t="n">
        <x:v>3</x:v>
      </x:c>
      <x:c r="Q17" t="n">
        <x:v>0</x:v>
      </x:c>
      <x:c r="R17" t="n">
        <x:v>51.2</x:v>
      </x:c>
      <x:c r="S17" t="n">
        <x:v>157.4</x:v>
      </x:c>
      <x:c r="T17" t="n">
        <x:v>99.2</x:v>
      </x:c>
      <x:c r="U17" t="n">
        <x:v>183414</x:v>
      </x:c>
      <x:c r="V17" t="n">
        <x:v>25595</x:v>
      </x:c>
      <x:c r="W17" t="n">
        <x:v>1.6</x:v>
      </x:c>
      <x:c r="X17" t="n">
        <x:v>7.1</x:v>
      </x:c>
      <x:c r="Y17" t="str">
        <x:v>Matched</x:v>
      </x:c>
      <x:c r="Z17" t="str">
        <x:v>Matched</x:v>
      </x:c>
      <x:c r="AA17" t="str"/>
      <x:c r="AB17" t="n">
        <x:f>IF(Z17="Missing","",SUM(H17:O17))</x:f>
        <x:v>348</x:v>
      </x:c>
    </x:row>
    <x:row r="18">
      <x:c r="A18" t="str">
        <x:v>Hingoli</x:v>
      </x:c>
      <x:c r="B18" s="47" t="n">
        <x:v>1177345</x:v>
      </x:c>
      <x:c r="C18" s="47" t="n">
        <x:v>987160</x:v>
      </x:c>
      <x:c r="D18" s="47"/>
      <x:c r="E18" s="49" t="n">
        <x:f>IFERROR(IF(OR(B18="",C18=""),"",B18/C18-1),"")</x:f>
        <x:v>0.19265873819846835</x:v>
      </x:c>
      <x:c r="F18" t="n">
        <x:v>244</x:v>
      </x:c>
      <x:c r="G18" t="n">
        <x:v>78</x:v>
      </x:c>
      <x:c r="H18" s="47" t="n">
        <x:v>139</x:v>
      </x:c>
      <x:c r="I18" s="47" t="n">
        <x:v>24</x:v>
      </x:c>
      <x:c r="J18" s="47" t="n">
        <x:v>8</x:v>
      </x:c>
      <x:c r="K18" s="47" t="n">
        <x:v>2</x:v>
      </x:c>
      <x:c r="L18" s="47" t="n">
        <x:v>1</x:v>
      </x:c>
      <x:c r="M18" s="47" t="n">
        <x:v>0</x:v>
      </x:c>
      <x:c r="N18" s="47" t="n">
        <x:v>1</x:v>
      </x:c>
      <x:c r="O18" s="47" t="n">
        <x:v>3</x:v>
      </x:c>
      <x:c r="P18" t="n">
        <x:v>3</x:v>
      </x:c>
      <x:c r="Q18" t="n">
        <x:v>5.5</x:v>
      </x:c>
      <x:c r="R18" t="n">
        <x:v>6.1</x:v>
      </x:c>
      <x:c r="S18" t="n">
        <x:v>66.1</x:v>
      </x:c>
      <x:c r="T18" t="n">
        <x:v>30.2</x:v>
      </x:c>
      <x:c r="U18" t="n">
        <x:v>147333</x:v>
      </x:c>
      <x:c r="V18" t="n">
        <x:v>19843</x:v>
      </x:c>
      <x:c r="W18" t="n">
        <x:v>0.7</x:v>
      </x:c>
      <x:c r="X18" t="n">
        <x:v>6.5</x:v>
      </x:c>
      <x:c r="Y18" t="str">
        <x:v>Matched</x:v>
      </x:c>
      <x:c r="Z18" t="str">
        <x:v>Matched</x:v>
      </x:c>
      <x:c r="AA18" t="str"/>
      <x:c r="AB18" t="n">
        <x:f>IF(Z18="Missing","",SUM(H18:O18))</x:f>
        <x:v>178</x:v>
      </x:c>
    </x:row>
    <x:row r="19">
      <x:c r="A19" t="str">
        <x:v>Jalgaon</x:v>
      </x:c>
      <x:c r="B19" s="47" t="n">
        <x:v>4229917</x:v>
      </x:c>
      <x:c r="C19" s="47" t="n">
        <x:v>3682690</x:v>
      </x:c>
      <x:c r="D19" s="47" t="n">
        <x:v>3187634</x:v>
      </x:c>
      <x:c r="E19" s="49" t="n">
        <x:f>IFERROR(IF(OR(B19="",C19=""),"",B19/C19-1),"")</x:f>
        <x:v>0.14859436987636765</x:v>
      </x:c>
      <x:c r="F19" t="n">
        <x:v>360</x:v>
      </x:c>
      <x:c r="G19" t="n">
        <x:v>78</x:v>
      </x:c>
      <x:c r="H19" s="47" t="n">
        <x:v>443</x:v>
      </x:c>
      <x:c r="I19" s="47" t="n">
        <x:v>78</x:v>
      </x:c>
      <x:c r="J19" s="47" t="n">
        <x:v>20</x:v>
      </x:c>
      <x:c r="K19" s="47" t="n">
        <x:v>3</x:v>
      </x:c>
      <x:c r="L19" s="47" t="n">
        <x:v>0</x:v>
      </x:c>
      <x:c r="M19" s="47" t="n">
        <x:v>0</x:v>
      </x:c>
      <x:c r="N19" s="47" t="n">
        <x:v>1</x:v>
      </x:c>
      <x:c r="O19" s="47" t="n">
        <x:v>19</x:v>
      </x:c>
      <x:c r="P19" t="n">
        <x:v>3</x:v>
      </x:c>
      <x:c r="Q19" t="n">
        <x:v>7.6</x:v>
      </x:c>
      <x:c r="R19" t="n">
        <x:v>17.1</x:v>
      </x:c>
      <x:c r="S19" t="n">
        <x:v>121.6</x:v>
      </x:c>
      <x:c r="T19" t="n">
        <x:v>175</x:v>
      </x:c>
      <x:c r="U19" t="n">
        <x:v>182696</x:v>
      </x:c>
      <x:c r="V19" t="n">
        <x:v>26128</x:v>
      </x:c>
      <x:c r="W19" t="n">
        <x:v>1.3</x:v>
      </x:c>
      <x:c r="X19" t="n">
        <x:v>8.8</x:v>
      </x:c>
      <x:c r="Y19" t="str">
        <x:v>Matched</x:v>
      </x:c>
      <x:c r="Z19" t="str">
        <x:v>Matched</x:v>
      </x:c>
      <x:c r="AA19" t="str"/>
      <x:c r="AB19" t="n">
        <x:f>IF(Z19="Missing","",SUM(H19:O19))</x:f>
        <x:v>564</x:v>
      </x:c>
    </x:row>
    <x:row r="20">
      <x:c r="A20" t="str">
        <x:v>Jalna</x:v>
      </x:c>
      <x:c r="B20" s="47" t="n">
        <x:v>1959046</x:v>
      </x:c>
      <x:c r="C20" s="47" t="n">
        <x:v>1612980</x:v>
      </x:c>
      <x:c r="D20" s="47" t="n">
        <x:v>1364425</x:v>
      </x:c>
      <x:c r="E20" s="49" t="n">
        <x:f>IFERROR(IF(OR(B20="",C20=""),"",B20/C20-1),"")</x:f>
        <x:v>0.21455070738632842</x:v>
      </x:c>
      <x:c r="F20" t="n">
        <x:v>255</x:v>
      </x:c>
      <x:c r="G20" t="n">
        <x:v>72</x:v>
      </x:c>
      <x:c r="H20" s="47" t="n">
        <x:v>223</x:v>
      </x:c>
      <x:c r="I20" s="47" t="n">
        <x:v>44</x:v>
      </x:c>
      <x:c r="J20" s="47" t="n">
        <x:v>9</x:v>
      </x:c>
      <x:c r="K20" s="47" t="n">
        <x:v>1</x:v>
      </x:c>
      <x:c r="L20" s="47" t="n">
        <x:v>1</x:v>
      </x:c>
      <x:c r="M20" s="47" t="n">
        <x:v>1</x:v>
      </x:c>
      <x:c r="N20" s="47" t="n">
        <x:v>0</x:v>
      </x:c>
      <x:c r="O20" s="47" t="n">
        <x:v>9</x:v>
      </x:c>
      <x:c r="P20" t="n">
        <x:v>3</x:v>
      </x:c>
      <x:c r="Q20" t="n">
        <x:v>3.3</x:v>
      </x:c>
      <x:c r="R20" t="n">
        <x:v>1.3</x:v>
      </x:c>
      <x:c r="S20" t="n">
        <x:v>64.9</x:v>
      </x:c>
      <x:c r="T20" t="n">
        <x:v>1616.7</x:v>
      </x:c>
      <x:c r="U20" t="n">
        <x:v>178329</x:v>
      </x:c>
      <x:c r="V20" t="n">
        <x:v>25745</x:v>
      </x:c>
      <x:c r="W20" t="n">
        <x:v>0.6</x:v>
      </x:c>
      <x:c r="X20" t="n">
        <x:v>3.9</x:v>
      </x:c>
      <x:c r="Y20" t="str">
        <x:v>Matched</x:v>
      </x:c>
      <x:c r="Z20" t="str">
        <x:v>Matched</x:v>
      </x:c>
      <x:c r="AA20" t="str"/>
      <x:c r="AB20" t="n">
        <x:f>IF(Z20="Missing","",SUM(H20:O20))</x:f>
        <x:v>288</x:v>
      </x:c>
    </x:row>
    <x:row r="21">
      <x:c r="A21" t="str">
        <x:v>Kolhapur</x:v>
      </x:c>
      <x:c r="B21" s="47" t="n">
        <x:v>3876001</x:v>
      </x:c>
      <x:c r="C21" s="47" t="n">
        <x:v>3523162</x:v>
      </x:c>
      <x:c r="D21" s="47" t="n">
        <x:v>2989507</x:v>
      </x:c>
      <x:c r="E21" s="49" t="n">
        <x:f>IFERROR(IF(OR(B21="",C21=""),"",B21/C21-1),"")</x:f>
        <x:v>0.1001483894297226</x:v>
      </x:c>
      <x:c r="F21" t="n">
        <x:v>504</x:v>
      </x:c>
      <x:c r="G21" t="n">
        <x:v>82</x:v>
      </x:c>
      <x:c r="H21" s="47" t="n">
        <x:v>413</x:v>
      </x:c>
      <x:c r="I21" s="47" t="n">
        <x:v>82</x:v>
      </x:c>
      <x:c r="J21" s="47" t="n">
        <x:v>29</x:v>
      </x:c>
      <x:c r="K21" s="47" t="n">
        <x:v>5</x:v>
      </x:c>
      <x:c r="L21" s="47" t="n">
        <x:v>0</x:v>
      </x:c>
      <x:c r="M21" s="47" t="n">
        <x:v>1</x:v>
      </x:c>
      <x:c r="N21" s="47" t="n">
        <x:v>0</x:v>
      </x:c>
      <x:c r="O21" s="47" t="n">
        <x:v>15</x:v>
      </x:c>
      <x:c r="P21" t="n">
        <x:v>5</x:v>
      </x:c>
      <x:c r="Q21" t="n">
        <x:v>2.1</x:v>
      </x:c>
      <x:c r="R21" t="n">
        <x:v>22.7</x:v>
      </x:c>
      <x:c r="S21" t="n">
        <x:v>171.1</x:v>
      </x:c>
      <x:c r="T21" t="n">
        <x:v>949.6</x:v>
      </x:c>
      <x:c r="U21" t="n">
        <x:v>282297</x:v>
      </x:c>
      <x:c r="V21" t="n">
        <x:v>41538</x:v>
      </x:c>
      <x:c r="W21" t="n">
        <x:v>0.4</x:v>
      </x:c>
      <x:c r="X21" t="n">
        <x:v>2.9</x:v>
      </x:c>
      <x:c r="Y21" t="str">
        <x:v>Matched</x:v>
      </x:c>
      <x:c r="Z21" t="str">
        <x:v>Matched</x:v>
      </x:c>
      <x:c r="AA21" t="str"/>
      <x:c r="AB21" t="n">
        <x:f>IF(Z21="Missing","",SUM(H21:O21))</x:f>
        <x:v>545</x:v>
      </x:c>
    </x:row>
    <x:row r="22">
      <x:c r="A22" t="str">
        <x:v>Latur</x:v>
      </x:c>
      <x:c r="B22" s="47" t="n">
        <x:v>2454196</x:v>
      </x:c>
      <x:c r="C22" s="47" t="n">
        <x:v>2080285</x:v>
      </x:c>
      <x:c r="D22" s="47" t="n">
        <x:v>1676641</x:v>
      </x:c>
      <x:c r="E22" s="49" t="n">
        <x:f>IFERROR(IF(OR(B22="",C22=""),"",B22/C22-1),"")</x:f>
        <x:v>0.17974027597180187</x:v>
      </x:c>
      <x:c r="F22" t="n">
        <x:v>343</x:v>
      </x:c>
      <x:c r="G22" t="n">
        <x:v>77</x:v>
      </x:c>
      <x:c r="H22" s="47" t="n">
        <x:v>252</x:v>
      </x:c>
      <x:c r="I22" s="47" t="n">
        <x:v>51</x:v>
      </x:c>
      <x:c r="J22" s="47" t="n">
        <x:v>8</x:v>
      </x:c>
      <x:c r="K22" s="47" t="n">
        <x:v>1</x:v>
      </x:c>
      <x:c r="L22" s="47" t="n">
        <x:v>0</x:v>
      </x:c>
      <x:c r="M22" s="47" t="n">
        <x:v>1</x:v>
      </x:c>
      <x:c r="N22" s="47" t="n">
        <x:v>1</x:v>
      </x:c>
      <x:c r="O22" s="47" t="n">
        <x:v>11</x:v>
      </x:c>
      <x:c r="P22" t="n">
        <x:v>4</x:v>
      </x:c>
      <x:c r="Q22" t="n">
        <x:v>5.6</x:v>
      </x:c>
      <x:c r="R22" t="n">
        <x:v>0.7</x:v>
      </x:c>
      <x:c r="S22" t="n">
        <x:v>123</x:v>
      </x:c>
      <x:c r="T22" t="n">
        <x:v>105</x:v>
      </x:c>
      <x:c r="U22" t="n">
        <x:v>193152</x:v>
      </x:c>
      <x:c r="V22" t="n">
        <x:v>26509</x:v>
      </x:c>
      <x:c r="W22" t="n">
        <x:v>0.5</x:v>
      </x:c>
      <x:c r="X22" t="n">
        <x:v>2.8</x:v>
      </x:c>
      <x:c r="Y22" t="str">
        <x:v>Matched</x:v>
      </x:c>
      <x:c r="Z22" t="str">
        <x:v>Matched</x:v>
      </x:c>
      <x:c r="AA22" t="str"/>
      <x:c r="AB22" t="n">
        <x:f>IF(Z22="Missing","",SUM(H22:O22))</x:f>
        <x:v>325</x:v>
      </x:c>
    </x:row>
    <x:row r="23">
      <x:c r="A23" t="str">
        <x:v>Mumbai City</x:v>
      </x:c>
      <x:c r="B23" s="47" t="n">
        <x:v>3085411</x:v>
      </x:c>
      <x:c r="C23" s="47" t="n">
        <x:v>3338031</x:v>
      </x:c>
      <x:c r="D23" s="47" t="n">
        <x:v>9925891</x:v>
      </x:c>
      <x:c r="E23" s="49" t="n">
        <x:f>IFERROR(IF(OR(B23="",C23=""),"",B23/C23-1),"")</x:f>
        <x:v>-0.07567934509895202</x:v>
      </x:c>
      <x:c r="F23" t="n">
        <x:v>19652</x:v>
      </x:c>
      <x:c r="G23" t="n">
        <x:v>89</x:v>
      </x:c>
      <x:c r="H23" s="47"/>
      <x:c r="I23" s="47"/>
      <x:c r="J23" s="47"/>
      <x:c r="K23" s="47"/>
      <x:c r="L23" s="47"/>
      <x:c r="M23" s="47"/>
      <x:c r="N23" s="47"/>
      <x:c r="O23" s="47"/>
      <x:c r="P23" t="n">
        <x:v>110</x:v>
      </x:c>
      <x:c r="Q23" t="n">
        <x:v>9.7</x:v>
      </x:c>
      <x:c r="R23" t="n">
        <x:v>1.9</x:v>
      </x:c>
      <x:c r="S23" t="n">
        <x:v>614</x:v>
      </x:c>
      <x:c r="T23" t="n">
        <x:v>103.9</x:v>
      </x:c>
      <x:c r="U23" t="n">
        <x:v>455767</x:v>
      </x:c>
      <x:c r="V23" t="n">
        <x:v>36780</x:v>
      </x:c>
      <x:c r="W23" t="n">
        <x:v>0.6</x:v>
      </x:c>
      <x:c r="X23" t="n">
        <x:v>7.2</x:v>
      </x:c>
      <x:c r="Y23" t="str">
        <x:v>Matched</x:v>
      </x:c>
      <x:c r="Z23" t="str">
        <x:v>Missing</x:v>
      </x:c>
      <x:c r="AA23" t="str">
        <x:v>Brihan Mumbai health data combines City + Suburban; not allocated to either; Source footnote: Mumbai City PTR and PCI include Suburban; Indicator: ^ markers retained as footnote in original; numeric part extracted</x:v>
      </x:c>
      <x:c r="AB23" t="str">
        <x:f>IF(Z23="Missing","",SUM(H23:O23))</x:f>
      </x:c>
    </x:row>
    <x:row r="24">
      <x:c r="A24" t="str">
        <x:v>Mumbai Suburban</x:v>
      </x:c>
      <x:c r="B24" s="47" t="n">
        <x:v>9356962</x:v>
      </x:c>
      <x:c r="C24" s="47" t="n">
        <x:v>8640419</x:v>
      </x:c>
      <x:c r="D24" s="47"/>
      <x:c r="E24" s="49" t="n">
        <x:f>IFERROR(IF(OR(B24="",C24=""),"",B24/C24-1),"")</x:f>
        <x:v>0.0829291959105225</x:v>
      </x:c>
      <x:c r="F24" t="n">
        <x:v>20980</x:v>
      </x:c>
      <x:c r="G24" t="n">
        <x:v>90</x:v>
      </x:c>
      <x:c r="H24" s="47"/>
      <x:c r="I24" s="47"/>
      <x:c r="J24" s="47"/>
      <x:c r="K24" s="47"/>
      <x:c r="L24" s="47"/>
      <x:c r="M24" s="47"/>
      <x:c r="N24" s="47"/>
      <x:c r="O24" s="47"/>
      <x:c r="P24" t="n">
        <x:v>53</x:v>
      </x:c>
      <x:c r="Q24" t="n">
        <x:v>9.7</x:v>
      </x:c>
      <x:c r="R24" t="n">
        <x:v>49.6</x:v>
      </x:c>
      <x:c r="S24" t="n">
        <x:v>659.9</x:v>
      </x:c>
      <x:c r="T24" t="n">
        <x:v>299.8</x:v>
      </x:c>
      <x:c r="U24"/>
      <x:c r="V24" t="n">
        <x:v>30051</x:v>
      </x:c>
      <x:c r="W24" t="n">
        <x:v>0.5</x:v>
      </x:c>
      <x:c r="X24" t="n">
        <x:v>7.5</x:v>
      </x:c>
      <x:c r="Y24" t="str">
        <x:v>Matched</x:v>
      </x:c>
      <x:c r="Z24" t="str">
        <x:v>Missing</x:v>
      </x:c>
      <x:c r="AA24" t="str">
        <x:v>Brihan Mumbai health data combines City + Suburban; not allocated to either</x:v>
      </x:c>
      <x:c r="AB24" t="str">
        <x:f>IF(Z24="Missing","",SUM(H24:O24))</x:f>
      </x:c>
    </x:row>
    <x:row r="25">
      <x:c r="A25" t="str">
        <x:v>Nagpur</x:v>
      </x:c>
      <x:c r="B25" s="47" t="n">
        <x:v>4653570</x:v>
      </x:c>
      <x:c r="C25" s="47" t="n">
        <x:v>4067637</x:v>
      </x:c>
      <x:c r="D25" s="47" t="n">
        <x:v>3287139</x:v>
      </x:c>
      <x:c r="E25" s="49" t="n">
        <x:f>IFERROR(IF(OR(B25="",C25=""),"",B25/C25-1),"")</x:f>
        <x:v>0.14404751456435272</x:v>
      </x:c>
      <x:c r="F25" t="n">
        <x:v>470</x:v>
      </x:c>
      <x:c r="G25" t="n">
        <x:v>88</x:v>
      </x:c>
      <x:c r="H25" s="47" t="n">
        <x:v>317</x:v>
      </x:c>
      <x:c r="I25" s="47" t="n">
        <x:v>56</x:v>
      </x:c>
      <x:c r="J25" s="47" t="n">
        <x:v>63</x:v>
      </x:c>
      <x:c r="K25" s="47" t="n">
        <x:v>2</x:v>
      </x:c>
      <x:c r="L25" s="47" t="n">
        <x:v>1</x:v>
      </x:c>
      <x:c r="M25" s="47" t="n">
        <x:v>0</x:v>
      </x:c>
      <x:c r="N25" s="47" t="n">
        <x:v>1</x:v>
      </x:c>
      <x:c r="O25" s="47" t="n">
        <x:v>11</x:v>
      </x:c>
      <x:c r="P25" t="n">
        <x:v>4</x:v>
      </x:c>
      <x:c r="Q25" t="n">
        <x:v>3.8</x:v>
      </x:c>
      <x:c r="R25" t="n">
        <x:v>26</x:v>
      </x:c>
      <x:c r="S25" t="n">
        <x:v>350.4</x:v>
      </x:c>
      <x:c r="T25" t="n">
        <x:v>553.1</x:v>
      </x:c>
      <x:c r="U25" t="n">
        <x:v>322927</x:v>
      </x:c>
      <x:c r="V25" t="n">
        <x:v>52280</x:v>
      </x:c>
      <x:c r="W25" t="n">
        <x:v>0.6</x:v>
      </x:c>
      <x:c r="X25" t="n">
        <x:v>6.2</x:v>
      </x:c>
      <x:c r="Y25" t="str">
        <x:v>Matched</x:v>
      </x:c>
      <x:c r="Z25" t="str">
        <x:v>Matched</x:v>
      </x:c>
      <x:c r="AA25" t="str"/>
      <x:c r="AB25" t="n">
        <x:f>IF(Z25="Missing","",SUM(H25:O25))</x:f>
        <x:v>451</x:v>
      </x:c>
    </x:row>
    <x:row r="26">
      <x:c r="A26" t="str">
        <x:v>Nanded</x:v>
      </x:c>
      <x:c r="B26" s="47" t="n">
        <x:v>3361292</x:v>
      </x:c>
      <x:c r="C26" s="47" t="n">
        <x:v>2876259</x:v>
      </x:c>
      <x:c r="D26" s="47" t="n">
        <x:v>2330374</x:v>
      </x:c>
      <x:c r="E26" s="49" t="n">
        <x:f>IFERROR(IF(OR(B26="",C26=""),"",B26/C26-1),"")</x:f>
        <x:v>0.16863328372027686</x:v>
      </x:c>
      <x:c r="F26" t="n">
        <x:v>319</x:v>
      </x:c>
      <x:c r="G26" t="n">
        <x:v>75</x:v>
      </x:c>
      <x:c r="H26" s="47" t="n">
        <x:v>383</x:v>
      </x:c>
      <x:c r="I26" s="47" t="n">
        <x:v>70</x:v>
      </x:c>
      <x:c r="J26" s="47" t="n">
        <x:v>19</x:v>
      </x:c>
      <x:c r="K26" s="47" t="n">
        <x:v>6</x:v>
      </x:c>
      <x:c r="L26" s="47" t="n">
        <x:v>1</x:v>
      </x:c>
      <x:c r="M26" s="47" t="n">
        <x:v>0</x:v>
      </x:c>
      <x:c r="N26" s="47" t="n">
        <x:v>1</x:v>
      </x:c>
      <x:c r="O26" s="47" t="n">
        <x:v>12</x:v>
      </x:c>
      <x:c r="P26" t="n">
        <x:v>4</x:v>
      </x:c>
      <x:c r="Q26" t="n">
        <x:v>5</x:v>
      </x:c>
      <x:c r="R26" t="n">
        <x:v>12.4</x:v>
      </x:c>
      <x:c r="S26" t="n">
        <x:v>107.7</x:v>
      </x:c>
      <x:c r="T26" t="n">
        <x:v>43.5</x:v>
      </x:c>
      <x:c r="U26" t="n">
        <x:v>181013</x:v>
      </x:c>
      <x:c r="V26" t="n">
        <x:v>21656</x:v>
      </x:c>
      <x:c r="W26" t="n">
        <x:v>0.4</x:v>
      </x:c>
      <x:c r="X26" t="n">
        <x:v>2.7</x:v>
      </x:c>
      <x:c r="Y26" t="str">
        <x:v>Matched</x:v>
      </x:c>
      <x:c r="Z26" t="str">
        <x:v>Matched</x:v>
      </x:c>
      <x:c r="AA26" t="str"/>
      <x:c r="AB26" t="n">
        <x:f>IF(Z26="Missing","",SUM(H26:O26))</x:f>
        <x:v>492</x:v>
      </x:c>
    </x:row>
    <x:row r="27">
      <x:c r="A27" t="str">
        <x:v>Nandurbar</x:v>
      </x:c>
      <x:c r="B27" s="47" t="n">
        <x:v>1648295</x:v>
      </x:c>
      <x:c r="C27" s="47" t="n">
        <x:v>1311709</x:v>
      </x:c>
      <x:c r="D27" s="47"/>
      <x:c r="E27" s="49" t="n">
        <x:f>IFERROR(IF(OR(B27="",C27=""),"",B27/C27-1),"")</x:f>
        <x:v>0.2566011211328123</x:v>
      </x:c>
      <x:c r="F27" t="n">
        <x:v>277</x:v>
      </x:c>
      <x:c r="G27" t="n">
        <x:v>64</x:v>
      </x:c>
      <x:c r="H27" s="47" t="n">
        <x:v>293</x:v>
      </x:c>
      <x:c r="I27" s="47" t="n">
        <x:v>61</x:v>
      </x:c>
      <x:c r="J27" s="47" t="n">
        <x:v>19</x:v>
      </x:c>
      <x:c r="K27" s="47" t="n">
        <x:v>2</x:v>
      </x:c>
      <x:c r="L27" s="47" t="n">
        <x:v>0</x:v>
      </x:c>
      <x:c r="M27" s="47" t="n">
        <x:v>0</x:v>
      </x:c>
      <x:c r="N27" s="47" t="n">
        <x:v>1</x:v>
      </x:c>
      <x:c r="O27" s="47" t="n">
        <x:v>12</x:v>
      </x:c>
      <x:c r="P27" t="n">
        <x:v>3</x:v>
      </x:c>
      <x:c r="Q27" t="n">
        <x:v>6.1</x:v>
      </x:c>
      <x:c r="R27" t="n">
        <x:v>39.4</x:v>
      </x:c>
      <x:c r="S27" t="n">
        <x:v>63.4</x:v>
      </x:c>
      <x:c r="T27" t="n">
        <x:v>48.3</x:v>
      </x:c>
      <x:c r="U27" t="n">
        <x:v>129146</x:v>
      </x:c>
      <x:c r="V27" t="n">
        <x:v>16210</x:v>
      </x:c>
      <x:c r="W27" t="n">
        <x:v>6.7</x:v>
      </x:c>
      <x:c r="X27" t="n">
        <x:v>23.4</x:v>
      </x:c>
      <x:c r="Y27" t="str">
        <x:v>Matched</x:v>
      </x:c>
      <x:c r="Z27" t="str">
        <x:v>Matched</x:v>
      </x:c>
      <x:c r="AA27" t="str"/>
      <x:c r="AB27" t="n">
        <x:f>IF(Z27="Missing","",SUM(H27:O27))</x:f>
        <x:v>388</x:v>
      </x:c>
    </x:row>
    <x:row r="28">
      <x:c r="A28" t="str">
        <x:v>Nashik</x:v>
      </x:c>
      <x:c r="B28" s="47" t="n">
        <x:v>6107187</x:v>
      </x:c>
      <x:c r="C28" s="47" t="n">
        <x:v>4993796</x:v>
      </x:c>
      <x:c r="D28" s="47" t="n">
        <x:v>3851352</x:v>
      </x:c>
      <x:c r="E28" s="49" t="n">
        <x:f>IFERROR(IF(OR(B28="",C28=""),"",B28/C28-1),"")</x:f>
        <x:v>0.22295484236841068</x:v>
      </x:c>
      <x:c r="F28" t="n">
        <x:v>393</x:v>
      </x:c>
      <x:c r="G28" t="n">
        <x:v>82</x:v>
      </x:c>
      <x:c r="H28" s="47" t="n">
        <x:v>592</x:v>
      </x:c>
      <x:c r="I28" s="47" t="n">
        <x:v>112</x:v>
      </x:c>
      <x:c r="J28" s="47" t="n">
        <x:v>31</x:v>
      </x:c>
      <x:c r="K28" s="47" t="n">
        <x:v>6</x:v>
      </x:c>
      <x:c r="L28" s="47" t="n">
        <x:v>1</x:v>
      </x:c>
      <x:c r="M28" s="47" t="n">
        <x:v>1</x:v>
      </x:c>
      <x:c r="N28" s="47" t="n">
        <x:v>1</x:v>
      </x:c>
      <x:c r="O28" s="47" t="n">
        <x:v>23</x:v>
      </x:c>
      <x:c r="P28" t="n">
        <x:v>4</x:v>
      </x:c>
      <x:c r="Q28" t="n">
        <x:v>6.6</x:v>
      </x:c>
      <x:c r="R28" t="n">
        <x:v>22.1</x:v>
      </x:c>
      <x:c r="S28" t="n">
        <x:v>151.5</x:v>
      </x:c>
      <x:c r="T28" t="n">
        <x:v>531.4</x:v>
      </x:c>
      <x:c r="U28" t="n">
        <x:v>249000</x:v>
      </x:c>
      <x:c r="V28" t="n">
        <x:v>40056</x:v>
      </x:c>
      <x:c r="W28" t="n">
        <x:v>1.6</x:v>
      </x:c>
      <x:c r="X28" t="n">
        <x:v>7.2</x:v>
      </x:c>
      <x:c r="Y28" t="str">
        <x:v>Matched</x:v>
      </x:c>
      <x:c r="Z28" t="str">
        <x:v>Matched</x:v>
      </x:c>
      <x:c r="AA28" t="str"/>
      <x:c r="AB28" t="n">
        <x:f>IF(Z28="Missing","",SUM(H28:O28))</x:f>
        <x:v>767</x:v>
      </x:c>
    </x:row>
    <x:row r="29">
      <x:c r="A29" t="str">
        <x:v>Palghar</x:v>
      </x:c>
      <x:c r="B29" s="47"/>
      <x:c r="C29" s="47"/>
      <x:c r="D29" s="47"/>
      <x:c r="E29" s="49" t="str">
        <x:f>IFERROR(IF(OR(B29="",C29=""),"",B29/C29-1),"")</x:f>
      </x:c>
      <x:c r="F29"/>
      <x:c r="G29"/>
      <x:c r="H29" s="47" t="n">
        <x:v>315</x:v>
      </x:c>
      <x:c r="I29" s="47" t="n">
        <x:v>46</x:v>
      </x:c>
      <x:c r="J29" s="47" t="n">
        <x:v>34</x:v>
      </x:c>
      <x:c r="K29" s="47" t="n">
        <x:v>3</x:v>
      </x:c>
      <x:c r="L29" s="47" t="n">
        <x:v>0</x:v>
      </x:c>
      <x:c r="M29" s="47" t="n">
        <x:v>0</x:v>
      </x:c>
      <x:c r="N29" s="47" t="n">
        <x:v>0</x:v>
      </x:c>
      <x:c r="O29" s="47" t="n">
        <x:v>9</x:v>
      </x:c>
      <x:c r="P29" t="n">
        <x:v>6</x:v>
      </x:c>
      <x:c r="Q29" t="n">
        <x:v>11.7</x:v>
      </x:c>
      <x:c r="R29" t="n">
        <x:v>40.6</x:v>
      </x:c>
      <x:c r="S29" t="n">
        <x:v>417.2</x:v>
      </x:c>
      <x:c r="T29" t="n">
        <x:v>1349.2</x:v>
      </x:c>
      <x:c r="U29"/>
      <x:c r="V29" t="n">
        <x:v>25855</x:v>
      </x:c>
      <x:c r="W29" t="n">
        <x:v>2.8</x:v>
      </x:c>
      <x:c r="X29" t="n">
        <x:v>17.3</x:v>
      </x:c>
      <x:c r="Y29" t="str">
        <x:v>Missing</x:v>
      </x:c>
      <x:c r="Z29" t="str">
        <x:v>Matched</x:v>
      </x:c>
      <x:c r="AA29" t="str">
        <x:v>No separate 2011 census district in upload; historical Thane included Palghar</x:v>
      </x:c>
      <x:c r="AB29" t="n">
        <x:f>IF(Z29="Missing","",SUM(H29:O29))</x:f>
        <x:v>407</x:v>
      </x:c>
    </x:row>
    <x:row r="30">
      <x:c r="A30" t="str">
        <x:v>Parbhani</x:v>
      </x:c>
      <x:c r="B30" s="47" t="n">
        <x:v>1836086</x:v>
      </x:c>
      <x:c r="C30" s="47" t="n">
        <x:v>1527715</x:v>
      </x:c>
      <x:c r="D30" s="47" t="n">
        <x:v>2117035</x:v>
      </x:c>
      <x:c r="E30" s="49" t="n">
        <x:f>IFERROR(IF(OR(B30="",C30=""),"",B30/C30-1),"")</x:f>
        <x:v>0.20185113061009408</x:v>
      </x:c>
      <x:c r="F30" t="n">
        <x:v>295</x:v>
      </x:c>
      <x:c r="G30" t="n">
        <x:v>73</x:v>
      </x:c>
      <x:c r="H30" s="47" t="n">
        <x:v>215</x:v>
      </x:c>
      <x:c r="I30" s="47" t="n">
        <x:v>37</x:v>
      </x:c>
      <x:c r="J30" s="47" t="n">
        <x:v>11</x:v>
      </x:c>
      <x:c r="K30" s="47" t="n">
        <x:v>2</x:v>
      </x:c>
      <x:c r="L30" s="47" t="n">
        <x:v>0</x:v>
      </x:c>
      <x:c r="M30" s="47" t="n">
        <x:v>0</x:v>
      </x:c>
      <x:c r="N30" s="47" t="n">
        <x:v>0</x:v>
      </x:c>
      <x:c r="O30" s="47" t="n">
        <x:v>7</x:v>
      </x:c>
      <x:c r="P30" t="n">
        <x:v>3</x:v>
      </x:c>
      <x:c r="Q30" t="n">
        <x:v>4.5</x:v>
      </x:c>
      <x:c r="R30" t="n">
        <x:v>1.6</x:v>
      </x:c>
      <x:c r="S30" t="n">
        <x:v>81.5</x:v>
      </x:c>
      <x:c r="T30" t="n">
        <x:v>64.3</x:v>
      </x:c>
      <x:c r="U30" t="n">
        <x:v>175758</x:v>
      </x:c>
      <x:c r="V30" t="n">
        <x:v>22611</x:v>
      </x:c>
      <x:c r="W30" t="n">
        <x:v>0.9</x:v>
      </x:c>
      <x:c r="X30" t="n">
        <x:v>4.1</x:v>
      </x:c>
      <x:c r="Y30" t="str">
        <x:v>Matched</x:v>
      </x:c>
      <x:c r="Z30" t="str">
        <x:v>Matched</x:v>
      </x:c>
      <x:c r="AA30" t="str"/>
      <x:c r="AB30" t="n">
        <x:f>IF(Z30="Missing","",SUM(H30:O30))</x:f>
        <x:v>272</x:v>
      </x:c>
    </x:row>
    <x:row r="31">
      <x:c r="A31" t="str">
        <x:v>Pune</x:v>
      </x:c>
      <x:c r="B31" s="47" t="n">
        <x:v>9429408</x:v>
      </x:c>
      <x:c r="C31" s="47" t="n">
        <x:v>7232555</x:v>
      </x:c>
      <x:c r="D31" s="47" t="n">
        <x:v>5532532</x:v>
      </x:c>
      <x:c r="E31" s="49" t="n">
        <x:f>IFERROR(IF(OR(B31="",C31=""),"",B31/C31-1),"")</x:f>
        <x:v>0.3037450804038131</x:v>
      </x:c>
      <x:c r="F31" t="n">
        <x:v>603</x:v>
      </x:c>
      <x:c r="G31" t="n">
        <x:v>86</x:v>
      </x:c>
      <x:c r="H31" s="47" t="n">
        <x:v>543</x:v>
      </x:c>
      <x:c r="I31" s="47" t="n">
        <x:v>108</x:v>
      </x:c>
      <x:c r="J31" s="47" t="n">
        <x:v>33</x:v>
      </x:c>
      <x:c r="K31" s="47" t="n">
        <x:v>6</x:v>
      </x:c>
      <x:c r="L31" s="47" t="n">
        <x:v>1</x:v>
      </x:c>
      <x:c r="M31" s="47" t="n">
        <x:v>0</x:v>
      </x:c>
      <x:c r="N31" s="47" t="n">
        <x:v>1</x:v>
      </x:c>
      <x:c r="O31" s="47" t="n">
        <x:v>23</x:v>
      </x:c>
      <x:c r="P31" t="n">
        <x:v>5</x:v>
      </x:c>
      <x:c r="Q31" t="n">
        <x:v>5.2</x:v>
      </x:c>
      <x:c r="R31" t="n">
        <x:v>14.6</x:v>
      </x:c>
      <x:c r="S31" t="n">
        <x:v>442.5</x:v>
      </x:c>
      <x:c r="T31" t="n">
        <x:v>1047.6</x:v>
      </x:c>
      <x:c r="U31" t="n">
        <x:v>374257</x:v>
      </x:c>
      <x:c r="V31" t="n">
        <x:v>72758</x:v>
      </x:c>
      <x:c r="W31" t="n">
        <x:v>0.4</x:v>
      </x:c>
      <x:c r="X31" t="n">
        <x:v>3.8</x:v>
      </x:c>
      <x:c r="Y31" t="str">
        <x:v>Matched</x:v>
      </x:c>
      <x:c r="Z31" t="str">
        <x:v>Matched</x:v>
      </x:c>
      <x:c r="AA31" t="str"/>
      <x:c r="AB31" t="n">
        <x:f>IF(Z31="Missing","",SUM(H31:O31))</x:f>
        <x:v>715</x:v>
      </x:c>
    </x:row>
    <x:row r="32">
      <x:c r="A32" t="str">
        <x:v>Raigad</x:v>
      </x:c>
      <x:c r="B32" s="47" t="n">
        <x:v>2634200</x:v>
      </x:c>
      <x:c r="C32" s="47" t="n">
        <x:v>2207929</x:v>
      </x:c>
      <x:c r="D32" s="47" t="n">
        <x:v>1824816</x:v>
      </x:c>
      <x:c r="E32" s="49" t="n">
        <x:f>IFERROR(IF(OR(B32="",C32=""),"",B32/C32-1),"")</x:f>
        <x:v>0.19306372623395052</x:v>
      </x:c>
      <x:c r="F32" t="n">
        <x:v>368</x:v>
      </x:c>
      <x:c r="G32" t="n">
        <x:v>83</x:v>
      </x:c>
      <x:c r="H32" s="47" t="n">
        <x:v>288</x:v>
      </x:c>
      <x:c r="I32" s="47" t="n">
        <x:v>55</x:v>
      </x:c>
      <x:c r="J32" s="47" t="n">
        <x:v>11</x:v>
      </x:c>
      <x:c r="K32" s="47" t="n">
        <x:v>6</x:v>
      </x:c>
      <x:c r="L32" s="47" t="n">
        <x:v>1</x:v>
      </x:c>
      <x:c r="M32" s="47" t="n">
        <x:v>0</x:v>
      </x:c>
      <x:c r="N32" s="47" t="n">
        <x:v>0</x:v>
      </x:c>
      <x:c r="O32" s="47" t="n">
        <x:v>9</x:v>
      </x:c>
      <x:c r="P32" t="n">
        <x:v>5</x:v>
      </x:c>
      <x:c r="Q32" t="n">
        <x:v>3.2</x:v>
      </x:c>
      <x:c r="R32" t="n">
        <x:v>25.8</x:v>
      </x:c>
      <x:c r="S32" t="n">
        <x:v>496.4</x:v>
      </x:c>
      <x:c r="T32" t="n">
        <x:v>2808.6</x:v>
      </x:c>
      <x:c r="U32" t="n">
        <x:v>315681</x:v>
      </x:c>
      <x:c r="V32" t="n">
        <x:v>41756</x:v>
      </x:c>
      <x:c r="W32" t="n">
        <x:v>0.5</x:v>
      </x:c>
      <x:c r="X32" t="n">
        <x:v>2.2</x:v>
      </x:c>
      <x:c r="Y32" t="str">
        <x:v>Matched</x:v>
      </x:c>
      <x:c r="Z32" t="str">
        <x:v>Matched</x:v>
      </x:c>
      <x:c r="AA32" t="str"/>
      <x:c r="AB32" t="n">
        <x:f>IF(Z32="Missing","",SUM(H32:O32))</x:f>
        <x:v>370</x:v>
      </x:c>
    </x:row>
    <x:row r="33">
      <x:c r="A33" t="str">
        <x:v>Ratnagiri</x:v>
      </x:c>
      <x:c r="B33" s="47" t="n">
        <x:v>1615069</x:v>
      </x:c>
      <x:c r="C33" s="47" t="n">
        <x:v>1696777</x:v>
      </x:c>
      <x:c r="D33" s="47" t="n">
        <x:v>1544057</x:v>
      </x:c>
      <x:c r="E33" s="49" t="n">
        <x:f>IFERROR(IF(OR(B33="",C33=""),"",B33/C33-1),"")</x:f>
        <x:v>-0.04815482529525095</x:v>
      </x:c>
      <x:c r="F33" t="n">
        <x:v>197</x:v>
      </x:c>
      <x:c r="G33" t="n">
        <x:v>82</x:v>
      </x:c>
      <x:c r="H33" s="47" t="n">
        <x:v>378</x:v>
      </x:c>
      <x:c r="I33" s="47" t="n">
        <x:v>68</x:v>
      </x:c>
      <x:c r="J33" s="47" t="n">
        <x:v>0</x:v>
      </x:c>
      <x:c r="K33" s="47" t="n">
        <x:v>3</x:v>
      </x:c>
      <x:c r="L33" s="47" t="n">
        <x:v>0</x:v>
      </x:c>
      <x:c r="M33" s="47" t="n">
        <x:v>0</x:v>
      </x:c>
      <x:c r="N33" s="47" t="n">
        <x:v>1</x:v>
      </x:c>
      <x:c r="O33" s="47" t="n">
        <x:v>8</x:v>
      </x:c>
      <x:c r="P33" t="n">
        <x:v>4</x:v>
      </x:c>
      <x:c r="Q33" t="n">
        <x:v>7.6</x:v>
      </x:c>
      <x:c r="R33" t="n">
        <x:v>1.2</x:v>
      </x:c>
      <x:c r="S33" t="n">
        <x:v>214.2</x:v>
      </x:c>
      <x:c r="T33" t="n">
        <x:v>297.9</x:v>
      </x:c>
      <x:c r="U33" t="n">
        <x:v>245421</x:v>
      </x:c>
      <x:c r="V33" t="n">
        <x:v>26506</x:v>
      </x:c>
      <x:c r="W33" t="n">
        <x:v>1.2</x:v>
      </x:c>
      <x:c r="X33" t="n">
        <x:v>7.6</x:v>
      </x:c>
      <x:c r="Y33" t="str">
        <x:v>Matched</x:v>
      </x:c>
      <x:c r="Z33" t="str">
        <x:v>Matched</x:v>
      </x:c>
      <x:c r="AA33" t="str"/>
      <x:c r="AB33" t="n">
        <x:f>IF(Z33="Missing","",SUM(H33:O33))</x:f>
        <x:v>458</x:v>
      </x:c>
    </x:row>
    <x:row r="34">
      <x:c r="A34" t="str">
        <x:v>Sangli</x:v>
      </x:c>
      <x:c r="B34" s="47" t="n">
        <x:v>2822143</x:v>
      </x:c>
      <x:c r="C34" s="47" t="n">
        <x:v>2583524</x:v>
      </x:c>
      <x:c r="D34" s="47" t="n">
        <x:v>2209488</x:v>
      </x:c>
      <x:c r="E34" s="49" t="n">
        <x:f>IFERROR(IF(OR(B34="",C34=""),"",B34/C34-1),"")</x:f>
        <x:v>0.09236182826248185</x:v>
      </x:c>
      <x:c r="F34" t="n">
        <x:v>329</x:v>
      </x:c>
      <x:c r="G34" t="n">
        <x:v>81</x:v>
      </x:c>
      <x:c r="H34" s="47" t="n">
        <x:v>357</x:v>
      </x:c>
      <x:c r="I34" s="47" t="n">
        <x:v>69</x:v>
      </x:c>
      <x:c r="J34" s="47" t="n">
        <x:v>17</x:v>
      </x:c>
      <x:c r="K34" s="47" t="n">
        <x:v>3</x:v>
      </x:c>
      <x:c r="L34" s="47" t="n">
        <x:v>0</x:v>
      </x:c>
      <x:c r="M34" s="47" t="n">
        <x:v>0</x:v>
      </x:c>
      <x:c r="N34" s="47" t="n">
        <x:v>0</x:v>
      </x:c>
      <x:c r="O34" s="47" t="n">
        <x:v>12</x:v>
      </x:c>
      <x:c r="P34" t="n">
        <x:v>3</x:v>
      </x:c>
      <x:c r="Q34" t="n">
        <x:v>3.3</x:v>
      </x:c>
      <x:c r="R34" t="n">
        <x:v>6.4</x:v>
      </x:c>
      <x:c r="S34" t="n">
        <x:v>159.5</x:v>
      </x:c>
      <x:c r="T34" t="n">
        <x:v>275.1</x:v>
      </x:c>
      <x:c r="U34" t="n">
        <x:v>258557</x:v>
      </x:c>
      <x:c r="V34" t="n">
        <x:v>37784</x:v>
      </x:c>
      <x:c r="W34" t="n">
        <x:v>0.3</x:v>
      </x:c>
      <x:c r="X34" t="n">
        <x:v>3</x:v>
      </x:c>
      <x:c r="Y34" t="str">
        <x:v>Matched</x:v>
      </x:c>
      <x:c r="Z34" t="str">
        <x:v>Matched</x:v>
      </x:c>
      <x:c r="AA34" t="str"/>
      <x:c r="AB34" t="n">
        <x:f>IF(Z34="Missing","",SUM(H34:O34))</x:f>
        <x:v>458</x:v>
      </x:c>
    </x:row>
    <x:row r="35">
      <x:c r="A35" t="str">
        <x:v>Satara</x:v>
      </x:c>
      <x:c r="B35" s="47" t="n">
        <x:v>3003741</x:v>
      </x:c>
      <x:c r="C35" s="47" t="n">
        <x:v>2808994</x:v>
      </x:c>
      <x:c r="D35" s="47" t="n">
        <x:v>2451372</x:v>
      </x:c>
      <x:c r="E35" s="49" t="n">
        <x:f>IFERROR(IF(OR(B35="",C35=""),"",B35/C35-1),"")</x:f>
        <x:v>0.06932980276924772</x:v>
      </x:c>
      <x:c r="F35" t="n">
        <x:v>287</x:v>
      </x:c>
      <x:c r="G35" t="n">
        <x:v>83</x:v>
      </x:c>
      <x:c r="H35" s="47" t="n">
        <x:v>414</x:v>
      </x:c>
      <x:c r="I35" s="47" t="n">
        <x:v>84</x:v>
      </x:c>
      <x:c r="J35" s="47" t="n">
        <x:v>26</x:v>
      </x:c>
      <x:c r="K35" s="47" t="n">
        <x:v>3</x:v>
      </x:c>
      <x:c r="L35" s="47" t="n">
        <x:v>1</x:v>
      </x:c>
      <x:c r="M35" s="47" t="n">
        <x:v>0</x:v>
      </x:c>
      <x:c r="N35" s="47" t="n">
        <x:v>0</x:v>
      </x:c>
      <x:c r="O35" s="47" t="n">
        <x:v>15</x:v>
      </x:c>
      <x:c r="P35" t="n">
        <x:v>4</x:v>
      </x:c>
      <x:c r="Q35" t="n">
        <x:v>3.7</x:v>
      </x:c>
      <x:c r="R35" t="n">
        <x:v>15.1</x:v>
      </x:c>
      <x:c r="S35" t="n">
        <x:v>156.9</x:v>
      </x:c>
      <x:c r="T35" t="n">
        <x:v>330.9</x:v>
      </x:c>
      <x:c r="U35" t="n">
        <x:v>241369</x:v>
      </x:c>
      <x:c r="V35" t="n">
        <x:v>38634</x:v>
      </x:c>
      <x:c r="W35" t="n">
        <x:v>0.5</x:v>
      </x:c>
      <x:c r="X35" t="n">
        <x:v>3.1</x:v>
      </x:c>
      <x:c r="Y35" t="str">
        <x:v>Matched</x:v>
      </x:c>
      <x:c r="Z35" t="str">
        <x:v>Matched</x:v>
      </x:c>
      <x:c r="AA35" t="str"/>
      <x:c r="AB35" t="n">
        <x:f>IF(Z35="Missing","",SUM(H35:O35))</x:f>
        <x:v>543</x:v>
      </x:c>
    </x:row>
    <x:row r="36">
      <x:c r="A36" t="str">
        <x:v>Sindhudurg</x:v>
      </x:c>
      <x:c r="B36" s="47" t="n">
        <x:v>849651</x:v>
      </x:c>
      <x:c r="C36" s="47" t="n">
        <x:v>868825</x:v>
      </x:c>
      <x:c r="D36" s="47" t="n">
        <x:v>832152</x:v>
      </x:c>
      <x:c r="E36" s="49" t="n">
        <x:f>IFERROR(IF(OR(B36="",C36=""),"",B36/C36-1),"")</x:f>
        <x:v>-0.022068886139326116</x:v>
      </x:c>
      <x:c r="F36" t="n">
        <x:v>163</x:v>
      </x:c>
      <x:c r="G36" t="n">
        <x:v>86</x:v>
      </x:c>
      <x:c r="H36" s="47" t="n">
        <x:v>248</x:v>
      </x:c>
      <x:c r="I36" s="47" t="n">
        <x:v>38</x:v>
      </x:c>
      <x:c r="J36" s="47" t="n">
        <x:v>10</x:v>
      </x:c>
      <x:c r="K36" s="47" t="n">
        <x:v>4</x:v>
      </x:c>
      <x:c r="L36" s="47" t="n">
        <x:v>0</x:v>
      </x:c>
      <x:c r="M36" s="47" t="n">
        <x:v>0</x:v>
      </x:c>
      <x:c r="N36" s="47" t="n">
        <x:v>1</x:v>
      </x:c>
      <x:c r="O36" s="47" t="n">
        <x:v>6</x:v>
      </x:c>
      <x:c r="P36" t="n">
        <x:v>3</x:v>
      </x:c>
      <x:c r="Q36" t="n">
        <x:v>7.7</x:v>
      </x:c>
      <x:c r="R36" t="n">
        <x:v>10.7</x:v>
      </x:c>
      <x:c r="S36" t="n">
        <x:v>219.8</x:v>
      </x:c>
      <x:c r="T36" t="n">
        <x:v>66.7</x:v>
      </x:c>
      <x:c r="U36" t="n">
        <x:v>279080</x:v>
      </x:c>
      <x:c r="V36" t="n">
        <x:v>31841</x:v>
      </x:c>
      <x:c r="W36" t="n">
        <x:v>2.5</x:v>
      </x:c>
      <x:c r="X36" t="n">
        <x:v>12</x:v>
      </x:c>
      <x:c r="Y36" t="str">
        <x:v>Matched</x:v>
      </x:c>
      <x:c r="Z36" t="str">
        <x:v>Matched</x:v>
      </x:c>
      <x:c r="AA36" t="str"/>
      <x:c r="AB36" t="n">
        <x:f>IF(Z36="Missing","",SUM(H36:O36))</x:f>
        <x:v>307</x:v>
      </x:c>
    </x:row>
    <x:row r="37">
      <x:c r="A37" t="str">
        <x:v>Solapur</x:v>
      </x:c>
      <x:c r="B37" s="47" t="n">
        <x:v>4317756</x:v>
      </x:c>
      <x:c r="C37" s="47" t="n">
        <x:v>3849543</x:v>
      </x:c>
      <x:c r="D37" s="47" t="n">
        <x:v>3231057</x:v>
      </x:c>
      <x:c r="E37" s="49" t="n">
        <x:f>IFERROR(IF(OR(B37="",C37=""),"",B37/C37-1),"")</x:f>
        <x:v>0.12162820365949933</x:v>
      </x:c>
      <x:c r="F37" t="n">
        <x:v>290</x:v>
      </x:c>
      <x:c r="G37" t="n">
        <x:v>77</x:v>
      </x:c>
      <x:c r="H37" s="47" t="n">
        <x:v>434</x:v>
      </x:c>
      <x:c r="I37" s="47" t="n">
        <x:v>77</x:v>
      </x:c>
      <x:c r="J37" s="47" t="n">
        <x:v>6</x:v>
      </x:c>
      <x:c r="K37" s="47" t="n">
        <x:v>3</x:v>
      </x:c>
      <x:c r="L37" s="47" t="n">
        <x:v>1</x:v>
      </x:c>
      <x:c r="M37" s="47" t="n">
        <x:v>0</x:v>
      </x:c>
      <x:c r="N37" s="47" t="n">
        <x:v>1</x:v>
      </x:c>
      <x:c r="O37" s="47" t="n">
        <x:v>16</x:v>
      </x:c>
      <x:c r="P37" t="n">
        <x:v>3</x:v>
      </x:c>
      <x:c r="Q37" t="n">
        <x:v>6.8</x:v>
      </x:c>
      <x:c r="R37" t="n">
        <x:v>2.6</x:v>
      </x:c>
      <x:c r="S37" t="n">
        <x:v>117.7</x:v>
      </x:c>
      <x:c r="T37" t="n">
        <x:v>237.1</x:v>
      </x:c>
      <x:c r="U37" t="n">
        <x:v>253088</x:v>
      </x:c>
      <x:c r="V37" t="n">
        <x:v>34739</x:v>
      </x:c>
      <x:c r="W37" t="n">
        <x:v>0.4</x:v>
      </x:c>
      <x:c r="X37" t="n">
        <x:v>3.5</x:v>
      </x:c>
      <x:c r="Y37" t="str">
        <x:v>Matched</x:v>
      </x:c>
      <x:c r="Z37" t="str">
        <x:v>Matched</x:v>
      </x:c>
      <x:c r="AA37" t="str"/>
      <x:c r="AB37" t="n">
        <x:f>IF(Z37="Missing","",SUM(H37:O37))</x:f>
        <x:v>538</x:v>
      </x:c>
    </x:row>
    <x:row r="38">
      <x:c r="A38" t="str">
        <x:v>Thane</x:v>
      </x:c>
      <x:c r="B38" s="47" t="n">
        <x:v>11060148</x:v>
      </x:c>
      <x:c r="C38" s="47" t="n">
        <x:v>8131849</x:v>
      </x:c>
      <x:c r="D38" s="47" t="n">
        <x:v>5249126</x:v>
      </x:c>
      <x:c r="E38" s="49" t="n">
        <x:f>IFERROR(IF(OR(B38="",C38=""),"",B38/C38-1),"")</x:f>
        <x:v>0.3601024809978641</x:v>
      </x:c>
      <x:c r="F38" t="n">
        <x:v>1157</x:v>
      </x:c>
      <x:c r="G38" t="n">
        <x:v>85</x:v>
      </x:c>
      <x:c r="H38" s="47" t="n">
        <x:v>191</x:v>
      </x:c>
      <x:c r="I38" s="47" t="n">
        <x:v>33</x:v>
      </x:c>
      <x:c r="J38" s="47" t="n">
        <x:v>9</x:v>
      </x:c>
      <x:c r="K38" s="47" t="n">
        <x:v>3</x:v>
      </x:c>
      <x:c r="L38" s="47" t="n">
        <x:v>1</x:v>
      </x:c>
      <x:c r="M38" s="47" t="n">
        <x:v>2</x:v>
      </x:c>
      <x:c r="N38" s="47" t="n">
        <x:v>1</x:v>
      </x:c>
      <x:c r="O38" s="47" t="n">
        <x:v>6</x:v>
      </x:c>
      <x:c r="P38" t="n">
        <x:v>11</x:v>
      </x:c>
      <x:c r="Q38" t="n">
        <x:v>7.5</x:v>
      </x:c>
      <x:c r="R38" t="n">
        <x:v>37.9</x:v>
      </x:c>
      <x:c r="S38" t="n">
        <x:v>482</x:v>
      </x:c>
      <x:c r="T38" t="n">
        <x:v>749.2</x:v>
      </x:c>
      <x:c r="U38" t="n">
        <x:v>390726</x:v>
      </x:c>
      <x:c r="V38" t="n">
        <x:v>47716</x:v>
      </x:c>
      <x:c r="W38" t="n">
        <x:v>1</x:v>
      </x:c>
      <x:c r="X38" t="n">
        <x:v>9.5</x:v>
      </x:c>
      <x:c r="Y38" t="str">
        <x:v>Matched</x:v>
      </x:c>
      <x:c r="Z38" t="str">
        <x:v>Matched</x:v>
      </x:c>
      <x:c r="AA38" t="str">
        <x:v>2011 Thane census geography included pre-split Palghar; Indicator: Includes Palghar: left as missing rather than assigning a district value</x:v>
      </x:c>
      <x:c r="AB38" t="n">
        <x:f>IF(Z38="Missing","",SUM(H38:O38))</x:f>
        <x:v>246</x:v>
      </x:c>
    </x:row>
    <x:row r="39">
      <x:c r="A39" t="str">
        <x:v>Wardha</x:v>
      </x:c>
      <x:c r="B39" s="47" t="n">
        <x:v>1300774</x:v>
      </x:c>
      <x:c r="C39" s="47" t="n">
        <x:v>1236736</x:v>
      </x:c>
      <x:c r="D39" s="47" t="n">
        <x:v>1067357</x:v>
      </x:c>
      <x:c r="E39" s="49" t="n">
        <x:f>IFERROR(IF(OR(B39="",C39=""),"",B39/C39-1),"")</x:f>
        <x:v>0.0517798463051129</x:v>
      </x:c>
      <x:c r="F39" t="n">
        <x:v>206</x:v>
      </x:c>
      <x:c r="G39" t="n">
        <x:v>87</x:v>
      </x:c>
      <x:c r="H39" s="47" t="n">
        <x:v>183</x:v>
      </x:c>
      <x:c r="I39" s="47" t="n">
        <x:v>32</x:v>
      </x:c>
      <x:c r="J39" s="47" t="n">
        <x:v>31</x:v>
      </x:c>
      <x:c r="K39" s="47" t="n">
        <x:v>2</x:v>
      </x:c>
      <x:c r="L39" s="47" t="n">
        <x:v>1</x:v>
      </x:c>
      <x:c r="M39" s="47" t="n">
        <x:v>0</x:v>
      </x:c>
      <x:c r="N39" s="47" t="n">
        <x:v>0</x:v>
      </x:c>
      <x:c r="O39" s="47" t="n">
        <x:v>8</x:v>
      </x:c>
      <x:c r="P39" t="n">
        <x:v>2</x:v>
      </x:c>
      <x:c r="Q39" t="n">
        <x:v>0</x:v>
      </x:c>
      <x:c r="R39" t="n">
        <x:v>17.5</x:v>
      </x:c>
      <x:c r="S39" t="n">
        <x:v>235.9</x:v>
      </x:c>
      <x:c r="T39" t="n">
        <x:v>605.7</x:v>
      </x:c>
      <x:c r="U39" t="n">
        <x:v>225691</x:v>
      </x:c>
      <x:c r="V39" t="n">
        <x:v>26017</x:v>
      </x:c>
      <x:c r="W39" t="n">
        <x:v>1.4</x:v>
      </x:c>
      <x:c r="X39" t="n">
        <x:v>8</x:v>
      </x:c>
      <x:c r="Y39" t="str">
        <x:v>Matched</x:v>
      </x:c>
      <x:c r="Z39" t="str">
        <x:v>Matched</x:v>
      </x:c>
      <x:c r="AA39" t="str"/>
      <x:c r="AB39" t="n">
        <x:f>IF(Z39="Missing","",SUM(H39:O39))</x:f>
        <x:v>257</x:v>
      </x:c>
    </x:row>
    <x:row r="40">
      <x:c r="A40" t="str">
        <x:v>Washim</x:v>
      </x:c>
      <x:c r="B40" s="47" t="n">
        <x:v>1197160</x:v>
      </x:c>
      <x:c r="C40" s="47" t="n">
        <x:v>1020216</x:v>
      </x:c>
      <x:c r="D40" s="47"/>
      <x:c r="E40" s="49" t="n">
        <x:f>IFERROR(IF(OR(B40="",C40=""),"",B40/C40-1),"")</x:f>
        <x:v>0.17343778180306924</x:v>
      </x:c>
      <x:c r="F40" t="n">
        <x:v>244</x:v>
      </x:c>
      <x:c r="G40" t="n">
        <x:v>83</x:v>
      </x:c>
      <x:c r="H40" s="47" t="n">
        <x:v>159</x:v>
      </x:c>
      <x:c r="I40" s="47" t="n">
        <x:v>27</x:v>
      </x:c>
      <x:c r="J40" s="47" t="n">
        <x:v>12</x:v>
      </x:c>
      <x:c r="K40" s="47" t="n">
        <x:v>1</x:v>
      </x:c>
      <x:c r="L40" s="47" t="n">
        <x:v>1</x:v>
      </x:c>
      <x:c r="M40" s="47" t="n">
        <x:v>0</x:v>
      </x:c>
      <x:c r="N40" s="47" t="n">
        <x:v>1</x:v>
      </x:c>
      <x:c r="O40" s="47" t="n">
        <x:v>6</x:v>
      </x:c>
      <x:c r="P40" t="n">
        <x:v>3</x:v>
      </x:c>
      <x:c r="Q40" t="n">
        <x:v>0</x:v>
      </x:c>
      <x:c r="R40" t="n">
        <x:v>8.9</x:v>
      </x:c>
      <x:c r="S40" t="n">
        <x:v>102.6</x:v>
      </x:c>
      <x:c r="T40" t="n">
        <x:v>39.3</x:v>
      </x:c>
      <x:c r="U40" t="n">
        <x:v>134754</x:v>
      </x:c>
      <x:c r="V40" t="n">
        <x:v>24014</x:v>
      </x:c>
      <x:c r="W40" t="n">
        <x:v>1.7</x:v>
      </x:c>
      <x:c r="X40" t="n">
        <x:v>7.9</x:v>
      </x:c>
      <x:c r="Y40" t="str">
        <x:v>Matched</x:v>
      </x:c>
      <x:c r="Z40" t="str">
        <x:v>Matched</x:v>
      </x:c>
      <x:c r="AA40" t="str"/>
      <x:c r="AB40" t="n">
        <x:f>IF(Z40="Missing","",SUM(H40:O40))</x:f>
        <x:v>207</x:v>
      </x:c>
    </x:row>
    <x:row r="41">
      <x:c r="A41" t="str">
        <x:v>Yavatmal</x:v>
      </x:c>
      <x:c r="B41" s="47" t="n">
        <x:v>2772348</x:v>
      </x:c>
      <x:c r="C41" s="47" t="n">
        <x:v>2458271</x:v>
      </x:c>
      <x:c r="D41" s="47" t="n">
        <x:v>2077144</x:v>
      </x:c>
      <x:c r="E41" s="49" t="n">
        <x:f>IFERROR(IF(OR(B41="",C41=""),"",B41/C41-1),"")</x:f>
        <x:v>0.12776337515269875</x:v>
      </x:c>
      <x:c r="F41" t="n">
        <x:v>204</x:v>
      </x:c>
      <x:c r="G41" t="n">
        <x:v>83</x:v>
      </x:c>
      <x:c r="H41" s="47" t="n">
        <x:v>450</x:v>
      </x:c>
      <x:c r="I41" s="47" t="n">
        <x:v>67</x:v>
      </x:c>
      <x:c r="J41" s="47" t="n">
        <x:v>25</x:v>
      </x:c>
      <x:c r="K41" s="47" t="n">
        <x:v>3</x:v>
      </x:c>
      <x:c r="L41" s="47" t="n">
        <x:v>0</x:v>
      </x:c>
      <x:c r="M41" s="47" t="n">
        <x:v>0</x:v>
      </x:c>
      <x:c r="N41" s="47" t="n">
        <x:v>1</x:v>
      </x:c>
      <x:c r="O41" s="47" t="n">
        <x:v>15</x:v>
      </x:c>
      <x:c r="P41" t="n">
        <x:v>2</x:v>
      </x:c>
      <x:c r="Q41" t="n">
        <x:v>0</x:v>
      </x:c>
      <x:c r="R41" t="n">
        <x:v>22.5</x:v>
      </x:c>
      <x:c r="S41" t="n">
        <x:v>127</x:v>
      </x:c>
      <x:c r="T41" t="n">
        <x:v>112.4</x:v>
      </x:c>
      <x:c r="U41" t="n">
        <x:v>160088</x:v>
      </x:c>
      <x:c r="V41" t="n">
        <x:v>21561</x:v>
      </x:c>
      <x:c r="W41" t="n">
        <x:v>1.8</x:v>
      </x:c>
      <x:c r="X41" t="n">
        <x:v>7.1</x:v>
      </x:c>
      <x:c r="Y41" t="str">
        <x:v>Matched</x:v>
      </x:c>
      <x:c r="Z41" t="str">
        <x:v>Matched</x:v>
      </x:c>
      <x:c r="AA41" t="str"/>
      <x:c r="AB41" t="n">
        <x:f>IF(Z41="Missing","",SUM(H41:O41))</x:f>
        <x:v>561</x:v>
      </x:c>
    </x:row>
  </x:sheetData>
  <x:mergeCells>
    <x:mergeCell ref="A1:AB1"/>
    <x:mergeCell ref="A2:AB2"/>
    <x:mergeCell ref="A3:AB3"/>
  </x:mergeCells>
  <x:conditionalFormatting sqref="Y6:Z41">
    <x:cfRule type="expression" dxfId="2" priority="1">
      <x:formula>Y6="Missing"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1ea93957cc4d83"/>
  </x:tableParts>
</x:worksheet>
</file>

<file path=xl/worksheets/sheet6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46" hidden="0" customWidth="1"/>
    <x:col min="4" max="4" width="41" hidden="0" customWidth="1"/>
    <x:col min="5" max="5" width="72" hidden="0" customWidth="1"/>
  </x:cols>
  <x:sheetData>
    <x:row r="1" ht="36" customHeight="1">
      <x:c r="A1" s="32" t="str">
        <x:v>DATA QUALITY | FIELD &amp; JOIN RULES</x:v>
      </x:c>
      <x:c r="B1" s="32"/>
      <x:c r="C1" s="32"/>
      <x:c r="D1" s="32"/>
      <x:c r="E1" s="32"/>
      <x:c r="F1" s="32"/>
      <x:c r="G1" s="32"/>
    </x:row>
    <x:row r="2" ht="25" customHeight="1">
      <x:c r="A2" s="34" t="str">
        <x:v>Dataset files have different times, spatial units and subtotal rows. Comparisons must respect the notes below.</x:v>
      </x:c>
      <x:c r="B2" s="34"/>
      <x:c r="C2" s="34"/>
      <x:c r="D2" s="34"/>
      <x:c r="E2" s="34"/>
      <x:c r="F2" s="34"/>
      <x:c r="G2" s="34"/>
    </x:row>
    <x:row r="4" ht="32" customHeight="1">
      <x:c r="A4" s="41" t="str">
        <x:v>Dataset</x:v>
      </x:c>
      <x:c r="B4" s="41" t="str">
        <x:v>Source rows</x:v>
      </x:c>
      <x:c r="C4" s="41" t="str">
        <x:v>Analysis rows</x:v>
      </x:c>
      <x:c r="D4" s="41" t="str">
        <x:v>Excluded from district join</x:v>
      </x:c>
      <x:c r="E4" s="41" t="str">
        <x:v>Interpretation</x:v>
      </x:c>
    </x:row>
    <x:row r="5">
      <x:c r="A5" t="str">
        <x:v>Health facilities</x:v>
      </x:c>
      <x:c r="B5" t="n">
        <x:v>42</x:v>
      </x:c>
      <x:c r="C5" t="n">
        <x:v>35</x:v>
      </x:c>
      <x:c r="D5" t="n">
        <x:v>7</x:v>
      </x:c>
      <x:c r="E5" t="str">
        <x:v>35 local area rows (including Brihan Mumbai); six divisions and Maharashtra total excluded.</x:v>
      </x:c>
    </x:row>
    <x:row r="6">
      <x:c r="A6" t="str">
        <x:v>Industrial MPCB</x:v>
      </x:c>
      <x:c r="B6" t="n">
        <x:v>13</x:v>
      </x:c>
      <x:c r="C6" t="n">
        <x:v>12</x:v>
      </x:c>
      <x:c r="D6" t="n">
        <x:v>1</x:v>
      </x:c>
      <x:c r="E6" t="str">
        <x:v>MPCB regions are not identical to administrative districts.</x:v>
      </x:c>
    </x:row>
    <x:row r="7">
      <x:c r="A7" t="str">
        <x:v>Vehicle categories</x:v>
      </x:c>
      <x:c r="B7" t="n">
        <x:v>63</x:v>
      </x:c>
      <x:c r="C7" t="n">
        <x:v>49</x:v>
      </x:c>
      <x:c r="D7" t="n">
        <x:v>14</x:v>
      </x:c>
      <x:c r="E7" t="str">
        <x:v>Office + region subtotal overlap; these are stocks / class counts, not verified monthly flows.</x:v>
      </x:c>
    </x:row>
    <x:row r="8">
      <x:c r="A8" t="str">
        <x:v>Airport traffic</x:v>
      </x:c>
      <x:c r="B8" t="n">
        <x:v>22</x:v>
      </x:c>
      <x:c r="C8" t="n">
        <x:v>19</x:v>
      </x:c>
      <x:c r="D8" t="n">
        <x:v>3</x:v>
      </x:c>
      <x:c r="E8" t="str">
        <x:v>Domestic/international airport rows; section and grand totals excluded in comparisons.</x:v>
      </x:c>
    </x:row>
    <x:row r="9">
      <x:c r="A9" t="str">
        <x:v>District indicators</x:v>
      </x:c>
      <x:c r="B9" t="n">
        <x:v>37</x:v>
      </x:c>
      <x:c r="C9" t="n">
        <x:v>36</x:v>
      </x:c>
      <x:c r="D9" t="n">
        <x:v>1</x:v>
      </x:c>
      <x:c r="E9" t="str">
        <x:v>36 district observations + 1 explanatory footnote.</x:v>
      </x:c>
    </x:row>
    <x:row r="10">
      <x:c r="A10" t="str">
        <x:v>Census wide</x:v>
      </x:c>
      <x:c r="B10" t="n">
        <x:v>35</x:v>
      </x:c>
      <x:c r="C10" t="n">
        <x:v>35</x:v>
      </x:c>
      <x:c r="D10" t="n">
        <x:v>0</x:v>
      </x:c>
      <x:c r="E10" t="str">
        <x:v>2011 uses older boundaries; Palghar not separate in uploaded census source.</x:v>
      </x:c>
    </x:row>
    <x:row r="13" ht="32" customHeight="1">
      <x:c r="A13" s="41" t="str">
        <x:v>Harmonization / exception</x:v>
      </x:c>
      <x:c r="B13" s="41" t="str">
        <x:v>Applied rule</x:v>
      </x:c>
      <x:c r="C13" s="41" t="str">
        <x:v>Reason</x:v>
      </x:c>
      <x:c r="D13" s="41" t="str">
        <x:v>Result in master</x:v>
      </x:c>
    </x:row>
    <x:row r="14">
      <x:c r="A14" t="str">
        <x:v>Buldana → Buldhana</x:v>
      </x:c>
      <x:c r="B14" t="str">
        <x:v>District spelling alias</x:v>
      </x:c>
      <x:c r="C14" t="str">
        <x:v>Spelling varies by file</x:v>
      </x:c>
      <x:c r="D14" t="str">
        <x:v>Joined</x:v>
      </x:c>
    </x:row>
    <x:row r="15">
      <x:c r="A15" t="str">
        <x:v>Gondiya → Gondia</x:v>
      </x:c>
      <x:c r="B15" t="str">
        <x:v>District spelling alias</x:v>
      </x:c>
      <x:c r="C15" t="str">
        <x:v>Spelling varies by file</x:v>
      </x:c>
      <x:c r="D15" t="str">
        <x:v>Joined</x:v>
      </x:c>
    </x:row>
    <x:row r="16">
      <x:c r="A16" t="str">
        <x:v>Nanden → Nanded</x:v>
      </x:c>
      <x:c r="B16" t="str">
        <x:v>Source spelling alias</x:v>
      </x:c>
      <x:c r="C16" t="str">
        <x:v>Likely source typo, checked in context of state districts</x:v>
      </x:c>
      <x:c r="D16" t="str">
        <x:v>Joined</x:v>
      </x:c>
    </x:row>
    <x:row r="17">
      <x:c r="A17" t="str">
        <x:v>Raigarh → Raigad</x:v>
      </x:c>
      <x:c r="B17" t="str">
        <x:v>District spelling alias</x:v>
      </x:c>
      <x:c r="C17" t="str">
        <x:v>Older English name</x:v>
      </x:c>
      <x:c r="D17" t="str">
        <x:v>Joined</x:v>
      </x:c>
    </x:row>
    <x:row r="18">
      <x:c r="A18" t="str">
        <x:v>Ahmadnagar → Ahilyanagar</x:v>
      </x:c>
      <x:c r="B18" t="str">
        <x:v>Renamed district</x:v>
      </x:c>
      <x:c r="C18" t="str">
        <x:v>Modern name used by uploaded indicator data</x:v>
      </x:c>
      <x:c r="D18" t="str">
        <x:v>Joined</x:v>
      </x:c>
    </x:row>
    <x:row r="19">
      <x:c r="A19" t="str">
        <x:v>Aurangabad → Chhatrapati Sambhajinagar</x:v>
      </x:c>
      <x:c r="B19" t="str">
        <x:v>Renamed district</x:v>
      </x:c>
      <x:c r="C19" t="str">
        <x:v>Modern name used in uploaded indicator data</x:v>
      </x:c>
      <x:c r="D19" t="str">
        <x:v>Joined</x:v>
      </x:c>
    </x:row>
    <x:row r="20">
      <x:c r="A20" t="str">
        <x:v>Osmanabad → Dharashiv</x:v>
      </x:c>
      <x:c r="B20" t="str">
        <x:v>Renamed district</x:v>
      </x:c>
      <x:c r="C20" t="str">
        <x:v>Modern name used by uploaded health/indicator data</x:v>
      </x:c>
      <x:c r="D20" t="str">
        <x:v>Joined</x:v>
      </x:c>
    </x:row>
    <x:row r="21">
      <x:c r="A21" t="str">
        <x:v>Bid → Beed</x:v>
      </x:c>
      <x:c r="B21" t="str">
        <x:v>District spelling alias</x:v>
      </x:c>
      <x:c r="C21" t="str">
        <x:v>Alternate transliteration</x:v>
      </x:c>
      <x:c r="D21" t="str">
        <x:v>Joined</x:v>
      </x:c>
    </x:row>
    <x:row r="22">
      <x:c r="A22" t="str">
        <x:v>Chhatrapti → Chhatrapati</x:v>
      </x:c>
      <x:c r="B22" t="str">
        <x:v>Source spelling correction</x:v>
      </x:c>
      <x:c r="C22" t="str">
        <x:v>Likely file typo</x:v>
      </x:c>
      <x:c r="D22" t="str">
        <x:v>Joined</x:v>
      </x:c>
    </x:row>
    <x:row r="23">
      <x:c r="A23" t="str">
        <x:v>Mumbai → Mumbai City</x:v>
      </x:c>
      <x:c r="B23" t="str">
        <x:v>Source district alias</x:v>
      </x:c>
      <x:c r="C23" t="str">
        <x:v>Census Mumbai separate from Mumbai Suburban</x:v>
      </x:c>
      <x:c r="D23" t="str">
        <x:v>Joined</x:v>
      </x:c>
    </x:row>
    <x:row r="24">
      <x:c r="A24" t="str">
        <x:v>Brihan Mumbai</x:v>
      </x:c>
      <x:c r="B24" t="str">
        <x:v>Do NOT split</x:v>
      </x:c>
      <x:c r="C24" t="str">
        <x:v>Health source combines Mumbai City and Suburban</x:v>
      </x:c>
      <x:c r="D24" t="str">
        <x:v>Both district health values left empty</x:v>
      </x:c>
    </x:row>
    <x:row r="25">
      <x:c r="A25" t="str">
        <x:v>Thane (2011) &amp; Palghar</x:v>
      </x:c>
      <x:c r="B25" t="str">
        <x:v>Do NOT split</x:v>
      </x:c>
      <x:c r="C25" t="str">
        <x:v>Palghar became a separate district after 2011</x:v>
      </x:c>
      <x:c r="D25" t="str">
        <x:v>Palghar census left empty</x:v>
      </x:c>
    </x:row>
    <x:row r="26">
      <x:c r="A26" t="str">
        <x:v>Industry regional totals</x:v>
      </x:c>
      <x:c r="B26" t="str">
        <x:v>Do NOT join to districts</x:v>
      </x:c>
      <x:c r="C26" t="str">
        <x:v>Region boundaries may differ</x:v>
      </x:c>
      <x:c r="D26" t="str">
        <x:v>Remains separate tab</x:v>
      </x:c>
    </x:row>
    <x:row r="27">
      <x:c r="A27" t="str">
        <x:v>RTO regional totals</x:v>
      </x:c>
      <x:c r="B27" t="str">
        <x:v>Do NOT add to office rows</x:v>
      </x:c>
      <x:c r="C27" t="str">
        <x:v>Avoid overlap and double counting</x:v>
      </x:c>
      <x:c r="D27" t="str">
        <x:v>Remains separate tab</x:v>
      </x:c>
    </x:row>
    <x:row r="28">
      <x:c r="A28" t="str">
        <x:v>Airport sections</x:v>
      </x:c>
      <x:c r="B28" t="str">
        <x:v>Do NOT add to airport rows</x:v>
      </x:c>
      <x:c r="C28" t="str">
        <x:v>Avoid double counting totals</x:v>
      </x:c>
      <x:c r="D28" t="str">
        <x:v>Remains separate tab</x:v>
      </x:c>
    </x:row>
    <x:row r="29">
      <x:c r="A29" t="str">
        <x:v>Missing - / N.A. / Neg</x:v>
      </x:c>
      <x:c r="B29" t="str">
        <x:v>Store blank, not zero</x:v>
      </x:c>
      <x:c r="C29" t="str">
        <x:v>Unknown vs negligible is not a measured zero</x:v>
      </x:c>
      <x:c r="D29" t="str">
        <x:v>Preserved in source Notes</x:v>
      </x:c>
    </x:row>
    <x:row r="30">
      <x:c r="A30" t="str">
        <x:v>Indicator footnote ^</x:v>
      </x:c>
      <x:c r="B30" t="str">
        <x:v>Numeric portion extracted</x:v>
      </x:c>
      <x:c r="C30" t="str">
        <x:v>Original footnote flag preserved in note field</x:v>
      </x:c>
      <x:c r="D30" t="str">
        <x:v>Footnote visible</x:v>
      </x:c>
    </x:row>
    <x:row r="31">
      <x:c r="A31" t="str">
        <x:v>Thane: includes Palghar (establishments)</x:v>
      </x:c>
      <x:c r="B31" t="str">
        <x:v>Ambiguous value left blank</x:v>
      </x:c>
      <x:c r="C31" t="str">
        <x:v>Cannot attribute to post-split district</x:v>
      </x:c>
      <x:c r="D31" t="str">
        <x:v>Not used in master</x:v>
      </x:c>
    </x:row>
    <x:row r="32">
      <x:c r="A32" t="str">
        <x:v>Reference years unspecified</x:v>
      </x:c>
      <x:c r="B32" t="str">
        <x:v>Do NOT infer time alignment</x:v>
      </x:c>
      <x:c r="C32" t="str">
        <x:v>Most files lack explicit dates</x:v>
      </x:c>
      <x:c r="D32" t="str">
        <x:v>Static comparison only</x:v>
      </x:c>
    </x:row>
    <x:row r="36" ht="32" customHeight="1">
      <x:c r="A36" s="41" t="str">
        <x:v>Coverage of DISTRICT Master</x:v>
      </x:c>
      <x:c r="B36" s="41" t="str">
        <x:v>Districts</x:v>
      </x:c>
      <x:c r="C36" s="41" t="str">
        <x:v>Matched census 2011</x:v>
      </x:c>
      <x:c r="D36" s="41" t="str">
        <x:v>Matched health facilities</x:v>
      </x:c>
    </x:row>
    <x:row r="37">
      <x:c r="A37" t="str">
        <x:v>Maharashtra district indicators</x:v>
      </x:c>
      <x:c r="B37" t="n">
        <x:v>36</x:v>
      </x:c>
      <x:c r="C37" t="n">
        <x:v>35</x:v>
      </x:c>
      <x:c r="D37" t="n">
        <x:v>34</x:v>
      </x:c>
    </x:row>
    <x:row r="39">
      <x:c r="A39" s="51" t="str">
        <x:v>PROVENANCE</x:v>
      </x:c>
      <x:c r="B39" t="str">
        <x:v>Every upload is user-supplied; source publisher and update date have not been independently authenticated.</x:v>
      </x:c>
      <x:c r="C39"/>
      <x:c r="D39"/>
      <x:c r="E39"/>
    </x:row>
    <x:row r="40">
      <x:c r="A40" s="51" t="str">
        <x:v>NOT A SUBSTITUTE</x:v>
      </x:c>
      <x:c r="B40" t="str">
        <x:v>The 55 originally listed datasets still require separate official raw downloads for exact coverage.</x:v>
      </x:c>
      <x:c r="C40"/>
      <x:c r="D40"/>
      <x:c r="E40"/>
    </x:row>
    <x:row r="43" ht="32" customHeight="1">
      <x:c r="A43" s="41" t="str">
        <x:v>SOURCE VALIDATION</x:v>
      </x:c>
      <x:c r="B43" s="41" t="str">
        <x:v>Result</x:v>
      </x:c>
      <x:c r="C43" s="41" t="str">
        <x:v>Checked values</x:v>
      </x:c>
      <x:c r="D43" s="41" t="str">
        <x:v>Interpretation</x:v>
      </x:c>
    </x:row>
    <x:row r="44">
      <x:c r="A44" t="str">
        <x:v>MPCB red/orange/green/white sums</x:v>
      </x:c>
      <x:c r="B44" s="54" t="str">
        <x:v>PASS</x:v>
      </x:c>
      <x:c r="C44" t="str">
        <x:v>Total row equals sum of 12 regional rows for 11 numeric fields</x:v>
      </x:c>
      <x:c r="D44" t="str">
        <x:v>Arithmetic only; source accuracy not independently verified</x:v>
      </x:c>
    </x:row>
    <x:row r="45">
      <x:c r="A45" t="str">
        <x:v>Census male + female = total</x:v>
      </x:c>
      <x:c r="B45" s="54" t="str">
        <x:v>PASS</x:v>
      </x:c>
      <x:c r="C45" t="str">
        <x:v>100 complete district-year records</x:v>
      </x:c>
      <x:c r="D45" t="str">
        <x:v>No internal inconsistencies detected in available records</x:v>
      </x:c>
    </x:row>
    <x:row r="46">
      <x:c r="A46" t="str">
        <x:v>Domestic aircraft movements</x:v>
      </x:c>
      <x:c r="B46" s="54" t="str">
        <x:v>PASS</x:v>
      </x:c>
      <x:c r="C46" t="str">
        <x:v>335,651 provided vs 335,651 summed airport records</x:v>
      </x:c>
      <x:c r="D46" t="str">
        <x:v>Section total equals listed domestic airports</x:v>
      </x:c>
    </x:row>
    <x:row r="47">
      <x:c r="A47" t="str">
        <x:v>International aircraft movements</x:v>
      </x:c>
      <x:c r="B47" s="54" t="str">
        <x:v>PASS</x:v>
      </x:c>
      <x:c r="C47" t="str">
        <x:v>69,806 provided vs 69,806 summed airport records</x:v>
      </x:c>
      <x:c r="D47" t="str">
        <x:v>Section total equals listed international airports</x:v>
      </x:c>
    </x:row>
    <x:row r="50">
      <x:c r="A50" s="56" t="str">
        <x:v>DISTRICT MASTER</x:v>
      </x:c>
      <x:c r="B50" s="56" t="str">
        <x:v>36 distinct standardized districts</x:v>
      </x:c>
      <x:c r="C50" s="56" t="str">
        <x:v>35 have uploaded census matches</x:v>
      </x:c>
      <x:c r="D50" s="56" t="str">
        <x:v>34 have district-level health matches</x:v>
      </x:c>
    </x:row>
  </x:sheetData>
  <x:mergeCells>
    <x:mergeCell ref="A1:G1"/>
    <x:mergeCell ref="A2:G2"/>
  </x:mergeCells>
  <x:pageMargins left="0.7" right="0.7" top="0.75" bottom="0.75" header="0.3" footer="0.3"/>
</x:worksheet>
</file>